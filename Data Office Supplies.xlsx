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FEA31B16-E88B-4357-9580-AE5C66D5CA8C}" xr6:coauthVersionLast="47" xr6:coauthVersionMax="47" xr10:uidLastSave="{00000000-0000-0000-0000-000000000000}"/>
  <bookViews>
    <workbookView xWindow="-110" yWindow="-110" windowWidth="19420" windowHeight="11020" xr2:uid="{D6D5F2E1-2B1F-47CC-828F-63414B4E842A}"/>
  </bookViews>
  <sheets>
    <sheet name="Data" sheetId="1" r:id="rId1"/>
    <sheet name="Pivot Table" sheetId="2" r:id="rId2"/>
  </sheets>
  <externalReferences>
    <externalReference r:id="rId3"/>
  </externalReferences>
  <definedNames>
    <definedName name="_xlchart.v1.7" hidden="1">[1]Sheet10!$AM$2:$AM$11</definedName>
    <definedName name="_xlchart.v1.8" hidden="1">[1]Sheet10!$AN$1</definedName>
    <definedName name="_xlchart.v1.9" hidden="1">[1]Sheet10!$AN$2:$AN$11</definedName>
    <definedName name="_xlchart.v2.0" hidden="1">[1]Sheet10!$AF$10:$AF$14</definedName>
    <definedName name="_xlchart.v2.1" hidden="1">[1]Sheet10!$AG$10:$AG$14</definedName>
    <definedName name="_xlchart.v2.2" hidden="1">[1]Sheet10!$AG$9</definedName>
    <definedName name="_xlchart.v5.3" hidden="1">[1]Sheet10!$U$3</definedName>
    <definedName name="_xlchart.v5.4" hidden="1">[1]Sheet10!$U$4:$U$41</definedName>
    <definedName name="_xlchart.v5.5" hidden="1">[1]Sheet10!$V$3</definedName>
    <definedName name="_xlchart.v5.6" hidden="1">[1]Sheet10!$V$4:$V$41</definedName>
  </definedName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1" i="2" l="1"/>
  <c r="P49" i="2" s="1"/>
  <c r="P48" i="2" l="1"/>
  <c r="P50" i="2"/>
  <c r="P47" i="2"/>
</calcChain>
</file>

<file path=xl/sharedStrings.xml><?xml version="1.0" encoding="utf-8"?>
<sst xmlns="http://schemas.openxmlformats.org/spreadsheetml/2006/main" count="6904" uniqueCount="1782">
  <si>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</si>
  <si>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</si>
  <si>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</si>
  <si>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</si>
  <si>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</si>
  <si>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</si>
  <si>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</si>
  <si>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</si>
  <si>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</si>
  <si>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</si>
  <si>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</si>
  <si>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</si>
  <si>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</si>
  <si>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</si>
  <si>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</si>
  <si>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</si>
  <si>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</si>
  <si>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</si>
  <si>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</si>
  <si>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</si>
  <si>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Revenue</t>
  </si>
  <si>
    <t>Profit</t>
  </si>
  <si>
    <t>CA-2020-138688</t>
  </si>
  <si>
    <t>Second Class</t>
  </si>
  <si>
    <t>DV-13045</t>
  </si>
  <si>
    <t>Darrin Van Huff</t>
  </si>
  <si>
    <t>Corporate</t>
  </si>
  <si>
    <t>United States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</si>
  <si>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</si>
  <si>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</si>
  <si>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</si>
  <si>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</si>
  <si>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</si>
  <si>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</si>
  <si>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</si>
  <si>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US-2019-108966</t>
  </si>
  <si>
    <t>Standard Class</t>
  </si>
  <si>
    <t>SO-20335</t>
  </si>
  <si>
    <t>Sean O'Donnell</t>
  </si>
  <si>
    <t>Consumer</t>
  </si>
  <si>
    <t>Fort Lauderdale</t>
  </si>
  <si>
    <t>Florida</t>
  </si>
  <si>
    <t>South</t>
  </si>
  <si>
    <t>OFF-ST-10000760</t>
  </si>
  <si>
    <t>Storage</t>
  </si>
  <si>
    <t>Eldon Fold 'N Roll Cart System</t>
  </si>
  <si>
    <t>CA-2018-115812</t>
  </si>
  <si>
    <t>BH-11710</t>
  </si>
  <si>
    <t>Brosina Hoffman</t>
  </si>
  <si>
    <t>OFF-AR-10002833</t>
  </si>
  <si>
    <t>Art</t>
  </si>
  <si>
    <t>Newell 322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</si>
  <si>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</si>
  <si>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</si>
  <si>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</si>
  <si>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</si>
  <si>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</si>
  <si>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</si>
  <si>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CA-2021-114412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</si>
  <si>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</si>
  <si>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</si>
  <si>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</si>
  <si>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</si>
  <si>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</si>
  <si>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</si>
  <si>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</si>
  <si>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</si>
  <si>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</si>
  <si>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</si>
  <si>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</si>
  <si>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</si>
  <si>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</si>
  <si>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</si>
  <si>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</si>
  <si>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</si>
  <si>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</si>
  <si>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</si>
  <si>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</si>
  <si>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</si>
  <si>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</si>
  <si>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</si>
  <si>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</si>
  <si>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</si>
  <si>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</si>
  <si>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</si>
  <si>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</si>
  <si>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</si>
  <si>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</si>
  <si>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</si>
  <si>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</si>
  <si>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</si>
  <si>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</si>
  <si>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</si>
  <si>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</si>
  <si>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</si>
  <si>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</si>
  <si>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</si>
  <si>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</si>
  <si>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</si>
  <si>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</si>
  <si>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</si>
  <si>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</si>
  <si>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</si>
  <si>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</si>
  <si>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</si>
  <si>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</si>
  <si>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</si>
  <si>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</si>
  <si>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</si>
  <si>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</si>
  <si>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</si>
  <si>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</si>
  <si>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</si>
  <si>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</si>
  <si>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</si>
  <si>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CA-2020-121755</t>
  </si>
  <si>
    <t>EH-13945</t>
  </si>
  <si>
    <t>Eric Hoffmann</t>
  </si>
  <si>
    <t>OFF-BI-10001634</t>
  </si>
  <si>
    <t>Wilson Jones Active Use Binders</t>
  </si>
  <si>
    <t>US-2019-150630</t>
  </si>
  <si>
    <t>TB-21520</t>
  </si>
  <si>
    <t>Tracy Blumstein</t>
  </si>
  <si>
    <t>Philadelphia</t>
  </si>
  <si>
    <t>Pennsylvania</t>
  </si>
  <si>
    <t>East</t>
  </si>
  <si>
    <t>OFF-BI-10000474</t>
  </si>
  <si>
    <t>Avery Recycled Flexi-View Covers for Binding Systems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</si>
  <si>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</si>
  <si>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</si>
  <si>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</si>
  <si>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</si>
  <si>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</si>
  <si>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</si>
  <si>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</si>
  <si>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</si>
  <si>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</si>
  <si>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</si>
  <si>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</si>
  <si>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</si>
  <si>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</si>
  <si>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</si>
  <si>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</si>
  <si>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CA-2019-117415</t>
  </si>
  <si>
    <t>SN-20710</t>
  </si>
  <si>
    <t>Steve Nguyen</t>
  </si>
  <si>
    <t>OFF-EN-10002986</t>
  </si>
  <si>
    <t>#10-4 1/8" x 9 1/2" Premium Diagonal Seam Envelopes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</si>
  <si>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</si>
  <si>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</si>
  <si>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</si>
  <si>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</si>
  <si>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</si>
  <si>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</si>
  <si>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</si>
  <si>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</si>
  <si>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</si>
  <si>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</si>
  <si>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</si>
  <si>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</si>
  <si>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First Class</t>
  </si>
  <si>
    <t>ON-18715</t>
  </si>
  <si>
    <t>Odella Nelson</t>
  </si>
  <si>
    <t>Eagan</t>
  </si>
  <si>
    <t>Minnesota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</si>
  <si>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</si>
  <si>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</si>
  <si>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</si>
  <si>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</si>
  <si>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</si>
  <si>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</si>
  <si>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</si>
  <si>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</si>
  <si>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</si>
  <si>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</si>
  <si>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</si>
  <si>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</si>
  <si>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</si>
  <si>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</si>
  <si>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</si>
  <si>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</si>
  <si>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</si>
  <si>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</si>
  <si>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</si>
  <si>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</si>
  <si>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</si>
  <si>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</si>
  <si>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</si>
  <si>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</si>
  <si>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</si>
  <si>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</si>
  <si>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</si>
  <si>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</si>
  <si>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</si>
  <si>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</si>
  <si>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</si>
  <si>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</si>
  <si>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</si>
  <si>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</si>
  <si>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</si>
  <si>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</si>
  <si>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</si>
  <si>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</si>
  <si>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</si>
  <si>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</si>
  <si>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</si>
  <si>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</si>
  <si>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</si>
  <si>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OFF-BI-10001078</t>
  </si>
  <si>
    <t>Acco PRESSTEX Data Binder with Storage Hooks, Dark Blue, 14 7/8" X 11"</t>
  </si>
  <si>
    <t>OFF-PA-10003892</t>
  </si>
  <si>
    <t>Xerox 1943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</si>
  <si>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</si>
  <si>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</si>
  <si>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</si>
  <si>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</si>
  <si>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</si>
  <si>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</si>
  <si>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</si>
  <si>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</si>
  <si>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</si>
  <si>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</si>
  <si>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</si>
  <si>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</si>
  <si>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</si>
  <si>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</si>
  <si>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</si>
  <si>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</si>
  <si>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</si>
  <si>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</si>
  <si>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</si>
  <si>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</si>
  <si>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</si>
  <si>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</si>
  <si>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</si>
  <si>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</si>
  <si>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</si>
  <si>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</si>
  <si>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</si>
  <si>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</si>
  <si>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</si>
  <si>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</si>
  <si>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</si>
  <si>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</si>
  <si>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</si>
  <si>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</si>
  <si>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</si>
  <si>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OFF-ST-10000615</t>
  </si>
  <si>
    <t>SimpliFile Personal File, Black Granite, 15w x 6-15/16d x 11-1/4h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</si>
  <si>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</si>
  <si>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</si>
  <si>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</si>
  <si>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</si>
  <si>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</si>
  <si>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</si>
  <si>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</si>
  <si>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</si>
  <si>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</si>
  <si>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</si>
  <si>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</si>
  <si>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</si>
  <si>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</si>
  <si>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</si>
  <si>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</si>
  <si>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</si>
  <si>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</si>
  <si>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</si>
  <si>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</si>
  <si>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</si>
  <si>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</si>
  <si>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</si>
  <si>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</si>
  <si>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</si>
  <si>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</si>
  <si>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Chicago</t>
  </si>
  <si>
    <t>Illinois</t>
  </si>
  <si>
    <t>OFF-ST-10003656</t>
  </si>
  <si>
    <t>Safco Industrial Wire Shelving</t>
  </si>
  <si>
    <t>CA-2021-155558</t>
  </si>
  <si>
    <t>PG-18895</t>
  </si>
  <si>
    <t>Paul Gonzalez</t>
  </si>
  <si>
    <t>Rochester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</si>
  <si>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</si>
  <si>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</si>
  <si>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</si>
  <si>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</si>
  <si>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</si>
  <si>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</si>
  <si>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</si>
  <si>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</si>
  <si>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</si>
  <si>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</si>
  <si>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</si>
  <si>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</si>
  <si>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</si>
  <si>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</si>
  <si>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</si>
  <si>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</si>
  <si>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</si>
  <si>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</si>
  <si>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</si>
  <si>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</si>
  <si>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</si>
  <si>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</si>
  <si>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</si>
  <si>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</si>
  <si>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</si>
  <si>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</si>
  <si>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</si>
  <si>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</si>
  <si>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</si>
  <si>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</si>
  <si>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</si>
  <si>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</si>
  <si>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</si>
  <si>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</si>
  <si>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</si>
  <si>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</si>
  <si>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</si>
  <si>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</si>
  <si>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</si>
  <si>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</si>
  <si>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</si>
  <si>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</si>
  <si>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</si>
  <si>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</si>
  <si>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</si>
  <si>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</si>
  <si>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</si>
  <si>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</si>
  <si>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</si>
  <si>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</si>
  <si>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</si>
  <si>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</si>
  <si>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</si>
  <si>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</si>
  <si>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</si>
  <si>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</si>
  <si>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</si>
  <si>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</si>
  <si>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</si>
  <si>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</si>
  <si>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</si>
  <si>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</si>
  <si>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</si>
  <si>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OFF-AR-10000390</t>
  </si>
  <si>
    <t>Newell Chalk Holder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</si>
  <si>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</si>
  <si>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</si>
  <si>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</si>
  <si>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</si>
  <si>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</si>
  <si>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</si>
  <si>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</si>
  <si>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</si>
  <si>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</si>
  <si>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</si>
  <si>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</si>
  <si>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</si>
  <si>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</si>
  <si>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</si>
  <si>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</si>
  <si>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</si>
  <si>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</si>
  <si>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</si>
  <si>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</si>
  <si>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</si>
  <si>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</si>
  <si>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</si>
  <si>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</si>
  <si>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</si>
  <si>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</si>
  <si>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</si>
  <si>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</si>
  <si>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</si>
  <si>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</si>
  <si>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</si>
  <si>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</si>
  <si>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</si>
  <si>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Delaware</t>
  </si>
  <si>
    <t>OFF-ST-10000777</t>
  </si>
  <si>
    <t>Companion Letter/Legal File, Black</t>
  </si>
  <si>
    <t>OFF-EN-10002500</t>
  </si>
  <si>
    <t>Globe Weis Peel &amp; Seel First Class Envelopes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</si>
  <si>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</si>
  <si>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</si>
  <si>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</si>
  <si>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</si>
  <si>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</si>
  <si>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</si>
  <si>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</si>
  <si>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</si>
  <si>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US-2021-164147</t>
  </si>
  <si>
    <t>DW-13585</t>
  </si>
  <si>
    <t>Dorothy Wardle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</si>
  <si>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</si>
  <si>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</si>
  <si>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</si>
  <si>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</si>
  <si>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</si>
  <si>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</si>
  <si>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</si>
  <si>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</si>
  <si>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</si>
  <si>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</si>
  <si>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</si>
  <si>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</si>
  <si>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</si>
  <si>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</si>
  <si>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</si>
  <si>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</si>
  <si>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</si>
  <si>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</si>
  <si>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</si>
  <si>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</si>
  <si>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</si>
  <si>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</si>
  <si>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</si>
  <si>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</si>
  <si>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</si>
  <si>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</si>
  <si>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</si>
  <si>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</si>
  <si>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</si>
  <si>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</si>
  <si>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</si>
  <si>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</si>
  <si>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</si>
  <si>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</si>
  <si>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</si>
  <si>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</si>
  <si>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</si>
  <si>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CA-2019-110744</t>
  </si>
  <si>
    <t>HA-14920</t>
  </si>
  <si>
    <t>Helen Andreada</t>
  </si>
  <si>
    <t>Pasadena</t>
  </si>
  <si>
    <t>CA-2020-114489</t>
  </si>
  <si>
    <t>JE-16165</t>
  </si>
  <si>
    <t>Justin Ellison</t>
  </si>
  <si>
    <t>Franklin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</si>
  <si>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</si>
  <si>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</si>
  <si>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</si>
  <si>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</si>
  <si>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</si>
  <si>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</si>
  <si>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</si>
  <si>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</si>
  <si>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</si>
  <si>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</si>
  <si>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</si>
  <si>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</si>
  <si>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</si>
  <si>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</si>
  <si>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</si>
  <si>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</si>
  <si>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</si>
  <si>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</si>
  <si>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</si>
  <si>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</si>
  <si>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</si>
  <si>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</si>
  <si>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</si>
  <si>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</si>
  <si>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</si>
  <si>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</si>
  <si>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</si>
  <si>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</si>
  <si>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</si>
  <si>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</si>
  <si>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CA-2020-162733</t>
  </si>
  <si>
    <t>TT-21070</t>
  </si>
  <si>
    <t>Ted Trevino</t>
  </si>
  <si>
    <t>OFF-PA-10002751</t>
  </si>
  <si>
    <t>Xerox 1920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</si>
  <si>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</si>
  <si>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</si>
  <si>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</si>
  <si>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</si>
  <si>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</si>
  <si>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</si>
  <si>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</si>
  <si>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</si>
  <si>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</si>
  <si>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</si>
  <si>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</si>
  <si>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</si>
  <si>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</si>
  <si>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</si>
  <si>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</si>
  <si>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</si>
  <si>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</si>
  <si>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</si>
  <si>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OFF-ST-10000991</t>
  </si>
  <si>
    <t>Space Solutions HD Industrial Steel Shelving.</t>
  </si>
  <si>
    <t>OFF-AR-10002656</t>
  </si>
  <si>
    <t>Sanford Liquid Accent Highlighters</t>
  </si>
  <si>
    <t>OFF-AP-10002518</t>
  </si>
  <si>
    <t>Kensington 7 Outlet MasterPiece Power Center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</si>
  <si>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</si>
  <si>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</si>
  <si>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</si>
  <si>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</si>
  <si>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</si>
  <si>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</si>
  <si>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</si>
  <si>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</si>
  <si>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</si>
  <si>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</si>
  <si>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</si>
  <si>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</si>
  <si>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</si>
  <si>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</si>
  <si>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</si>
  <si>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</si>
  <si>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</si>
  <si>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</si>
  <si>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</si>
  <si>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</si>
  <si>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Newark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</si>
  <si>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</si>
  <si>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</si>
  <si>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</si>
  <si>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</si>
  <si>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</si>
  <si>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</si>
  <si>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</si>
  <si>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</si>
  <si>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</si>
  <si>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</si>
  <si>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</si>
  <si>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</si>
  <si>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</si>
  <si>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</si>
  <si>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</si>
  <si>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</si>
  <si>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</si>
  <si>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</si>
  <si>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</si>
  <si>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</si>
  <si>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</si>
  <si>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</si>
  <si>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</si>
  <si>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</si>
  <si>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</si>
  <si>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</si>
  <si>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</si>
  <si>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</si>
  <si>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</si>
  <si>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</si>
  <si>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</si>
  <si>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</si>
  <si>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</si>
  <si>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</si>
  <si>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</si>
  <si>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</si>
  <si>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</si>
  <si>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</si>
  <si>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</si>
  <si>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</si>
  <si>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</si>
  <si>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</si>
  <si>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</si>
  <si>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</si>
  <si>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</si>
  <si>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</si>
  <si>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</si>
  <si>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</si>
  <si>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</si>
  <si>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</si>
  <si>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</si>
  <si>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</si>
  <si>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</si>
  <si>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</si>
  <si>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</si>
  <si>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</si>
  <si>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</si>
  <si>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</si>
  <si>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</si>
  <si>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</si>
  <si>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</si>
  <si>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</si>
  <si>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</si>
  <si>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</si>
  <si>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</si>
  <si>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</si>
  <si>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</si>
  <si>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</si>
  <si>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</si>
  <si>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</si>
  <si>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</si>
  <si>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</si>
  <si>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</si>
  <si>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</si>
  <si>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</si>
  <si>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</si>
  <si>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CA-2021-135860</t>
  </si>
  <si>
    <t>JH-15985</t>
  </si>
  <si>
    <t>Joseph Holt</t>
  </si>
  <si>
    <t>Saginaw</t>
  </si>
  <si>
    <t>OFF-ST-10000642</t>
  </si>
  <si>
    <t>Tennsco Lockers, Gray</t>
  </si>
  <si>
    <t>OFF-FA-10000134</t>
  </si>
  <si>
    <t>Advantus Push Pins, Aluminum Head</t>
  </si>
  <si>
    <t>OFF-ST-10001522</t>
  </si>
  <si>
    <t>Gould Plastics 18-Pocket Panel Bin, 34w x 5-1/4d x 20-1/2h</t>
  </si>
  <si>
    <t>CA-2019-146262</t>
  </si>
  <si>
    <t>VW-21775</t>
  </si>
  <si>
    <t>Victoria Wilson</t>
  </si>
  <si>
    <t>Medina</t>
  </si>
  <si>
    <t>OFF-LA-10004544</t>
  </si>
  <si>
    <t>Avery 505</t>
  </si>
  <si>
    <t>CA-2020-130162</t>
  </si>
  <si>
    <t>JH-15910</t>
  </si>
  <si>
    <t>Jonathan Howell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</si>
  <si>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</si>
  <si>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</si>
  <si>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</si>
  <si>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</si>
  <si>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</si>
  <si>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</si>
  <si>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</si>
  <si>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</si>
  <si>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</si>
  <si>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</si>
  <si>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</si>
  <si>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</si>
  <si>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</si>
  <si>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</si>
  <si>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</si>
  <si>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</si>
  <si>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OFF-ST-10002485</t>
  </si>
  <si>
    <t>Rogers Deluxe File Chest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</si>
  <si>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</si>
  <si>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</si>
  <si>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</si>
  <si>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</si>
  <si>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</si>
  <si>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</si>
  <si>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</si>
  <si>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</si>
  <si>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</si>
  <si>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</si>
  <si>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</si>
  <si>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</si>
  <si>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</si>
  <si>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</si>
  <si>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</si>
  <si>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</si>
  <si>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</si>
  <si>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</si>
  <si>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</si>
  <si>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</si>
  <si>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</si>
  <si>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</si>
  <si>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</si>
  <si>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</si>
  <si>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</si>
  <si>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</si>
  <si>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</si>
  <si>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</si>
  <si>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</si>
  <si>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</si>
  <si>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</si>
  <si>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</si>
  <si>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</si>
  <si>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</si>
  <si>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</si>
  <si>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</si>
  <si>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</si>
  <si>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</si>
  <si>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</si>
  <si>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</si>
  <si>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</si>
  <si>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</si>
  <si>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</si>
  <si>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</si>
  <si>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</si>
  <si>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</si>
  <si>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CA-2021-163139</t>
  </si>
  <si>
    <t>CC-12670</t>
  </si>
  <si>
    <t>Craig Carreira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</si>
  <si>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</si>
  <si>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</si>
  <si>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</si>
  <si>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</si>
  <si>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</si>
  <si>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</si>
  <si>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</si>
  <si>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</si>
  <si>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</si>
  <si>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</si>
  <si>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</si>
  <si>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</si>
  <si>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</si>
  <si>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</si>
  <si>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</si>
  <si>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</si>
  <si>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</si>
  <si>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</si>
  <si>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</si>
  <si>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</si>
  <si>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</si>
  <si>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</si>
  <si>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</si>
  <si>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</si>
  <si>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</si>
  <si>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</si>
  <si>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</si>
  <si>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</si>
  <si>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</si>
  <si>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</si>
  <si>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</si>
  <si>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</si>
  <si>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</si>
  <si>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</si>
  <si>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</si>
  <si>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</si>
  <si>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</si>
  <si>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</si>
  <si>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</si>
  <si>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</si>
  <si>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</si>
  <si>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</si>
  <si>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</si>
  <si>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</si>
  <si>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</si>
  <si>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</si>
  <si>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</si>
  <si>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</si>
  <si>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</si>
  <si>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</si>
  <si>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</si>
  <si>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</si>
  <si>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</si>
  <si>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</si>
  <si>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</si>
  <si>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</si>
  <si>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</si>
  <si>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CA-2019-130883</t>
  </si>
  <si>
    <t>OFF-PA-10000474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</si>
  <si>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</si>
  <si>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</si>
  <si>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</si>
  <si>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</si>
  <si>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</si>
  <si>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</si>
  <si>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</si>
  <si>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</si>
  <si>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</si>
  <si>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</si>
  <si>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</si>
  <si>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</si>
  <si>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</si>
  <si>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</si>
  <si>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</si>
  <si>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</si>
  <si>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</si>
  <si>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CA-2018-111451</t>
  </si>
  <si>
    <t>KL-16555</t>
  </si>
  <si>
    <t>Kelly Lampkin</t>
  </si>
  <si>
    <t>Colorado Springs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</si>
  <si>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</si>
  <si>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</si>
  <si>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</si>
  <si>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</si>
  <si>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</si>
  <si>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JD-15895</t>
  </si>
  <si>
    <t>Jonathan Doherty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</si>
  <si>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</si>
  <si>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</si>
  <si>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</si>
  <si>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</si>
  <si>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</si>
  <si>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</si>
  <si>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</si>
  <si>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OFF-BI-10002706</t>
  </si>
  <si>
    <t>Avery Premier Heavy-Duty Binder with Round Locking Rings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</si>
  <si>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</si>
  <si>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</si>
  <si>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</si>
  <si>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</si>
  <si>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</si>
  <si>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</si>
  <si>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</si>
  <si>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</si>
  <si>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</si>
  <si>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</si>
  <si>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</si>
  <si>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</si>
  <si>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</si>
  <si>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</si>
  <si>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</si>
  <si>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</si>
  <si>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</si>
  <si>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</si>
  <si>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</si>
  <si>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</si>
  <si>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</si>
  <si>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</si>
  <si>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OFF-LA-10000634</t>
  </si>
  <si>
    <t>Avery 509</t>
  </si>
  <si>
    <t>CA-2018-167850</t>
  </si>
  <si>
    <t>AG-10525</t>
  </si>
  <si>
    <t>Andy Gerbode</t>
  </si>
  <si>
    <t>Saint Petersburg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</si>
  <si>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</si>
  <si>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</si>
  <si>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</si>
  <si>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</si>
  <si>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</si>
  <si>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</si>
  <si>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</si>
  <si>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</si>
  <si>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</si>
  <si>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</si>
  <si>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</si>
  <si>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</si>
  <si>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</si>
  <si>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</si>
  <si>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</si>
  <si>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</si>
  <si>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</si>
  <si>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</si>
  <si>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</si>
  <si>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</si>
  <si>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US-2020-141544</t>
  </si>
  <si>
    <t>PO-18850</t>
  </si>
  <si>
    <t>Patrick O'Brill</t>
  </si>
  <si>
    <t>OFF-ST-10000675</t>
  </si>
  <si>
    <t>File Shuttle II and Handi-File, Black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</si>
  <si>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</si>
  <si>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</si>
  <si>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</si>
  <si>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</si>
  <si>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</si>
  <si>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</si>
  <si>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</si>
  <si>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</si>
  <si>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</si>
  <si>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</si>
  <si>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</si>
  <si>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</si>
  <si>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</si>
  <si>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</si>
  <si>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</si>
  <si>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</si>
  <si>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</si>
  <si>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</si>
  <si>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</si>
  <si>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</si>
  <si>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</si>
  <si>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</si>
  <si>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</si>
  <si>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</si>
  <si>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</si>
  <si>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</si>
  <si>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</si>
  <si>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</si>
  <si>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</si>
  <si>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</si>
  <si>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US-2019-120712</t>
  </si>
  <si>
    <t>Austin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</si>
  <si>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</si>
  <si>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</si>
  <si>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</si>
  <si>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</si>
  <si>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</si>
  <si>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</si>
  <si>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</si>
  <si>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</si>
  <si>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</si>
  <si>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</si>
  <si>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</si>
  <si>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</si>
  <si>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</si>
  <si>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</si>
  <si>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</si>
  <si>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</si>
  <si>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</si>
  <si>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</si>
  <si>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</si>
  <si>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</si>
  <si>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</si>
  <si>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</si>
  <si>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</si>
  <si>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</si>
  <si>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</si>
  <si>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</si>
  <si>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HK-14890</t>
  </si>
  <si>
    <t>Heather Kirkland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</si>
  <si>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</si>
  <si>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</si>
  <si>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</si>
  <si>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</si>
  <si>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</si>
  <si>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</si>
  <si>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</si>
  <si>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</si>
  <si>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</si>
  <si>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</si>
  <si>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</si>
  <si>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OFF-AR-10003732</t>
  </si>
  <si>
    <t>Newell 333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</si>
  <si>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</si>
  <si>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</si>
  <si>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</si>
  <si>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</si>
  <si>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</si>
  <si>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</si>
  <si>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</si>
  <si>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</si>
  <si>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</si>
  <si>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</si>
  <si>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</si>
  <si>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</si>
  <si>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</si>
  <si>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</si>
  <si>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</si>
  <si>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</si>
  <si>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</si>
  <si>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</si>
  <si>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</si>
  <si>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</si>
  <si>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</si>
  <si>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</si>
  <si>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</si>
  <si>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</si>
  <si>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</si>
  <si>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</si>
  <si>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OFF-AR-10000658</t>
  </si>
  <si>
    <t>Newell 324</t>
  </si>
  <si>
    <t>US-2020-134656</t>
  </si>
  <si>
    <t>MM-18280</t>
  </si>
  <si>
    <t>Muhammed MacIntyre</t>
  </si>
  <si>
    <t>Quincy</t>
  </si>
  <si>
    <t>OFF-PA-10003039</t>
  </si>
  <si>
    <t>Xerox 1960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</si>
  <si>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</si>
  <si>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</si>
  <si>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</si>
  <si>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</si>
  <si>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</si>
  <si>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</si>
  <si>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</si>
  <si>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</si>
  <si>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</si>
  <si>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</si>
  <si>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</si>
  <si>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</si>
  <si>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</si>
  <si>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</si>
  <si>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</si>
  <si>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</si>
  <si>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</si>
  <si>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</si>
  <si>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</si>
  <si>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</si>
  <si>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</si>
  <si>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</si>
  <si>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</si>
  <si>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</si>
  <si>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</si>
  <si>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</si>
  <si>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</si>
  <si>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</si>
  <si>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</si>
  <si>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</si>
  <si>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</si>
  <si>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</si>
  <si>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</si>
  <si>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</si>
  <si>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</si>
  <si>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</si>
  <si>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</si>
  <si>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</si>
  <si>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</si>
  <si>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</si>
  <si>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SS-20180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</si>
  <si>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</si>
  <si>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</si>
  <si>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</si>
  <si>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</si>
  <si>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</si>
  <si>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</si>
  <si>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</si>
  <si>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</si>
  <si>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</si>
  <si>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</si>
  <si>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</si>
  <si>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</si>
  <si>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</si>
  <si>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</si>
  <si>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</si>
  <si>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</si>
  <si>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</si>
  <si>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</si>
  <si>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</si>
  <si>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</si>
  <si>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</si>
  <si>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</si>
  <si>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</si>
  <si>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</si>
  <si>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</si>
  <si>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</si>
  <si>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</si>
  <si>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</si>
  <si>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</si>
  <si>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</si>
  <si>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</si>
  <si>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</si>
  <si>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</si>
  <si>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</si>
  <si>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OFF-PA-10003724</t>
  </si>
  <si>
    <t>Wirebound Message Book, 4 per Page</t>
  </si>
  <si>
    <t>OFF-PA-10002893</t>
  </si>
  <si>
    <t>Wirebound Service Call Books, 5 1/2" x 4"</t>
  </si>
  <si>
    <t>OFF-LA-10003766</t>
  </si>
  <si>
    <t>Self-Adhesive Removable Labels</t>
  </si>
  <si>
    <t>Xerox 1908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</si>
  <si>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</si>
  <si>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</si>
  <si>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</si>
  <si>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</si>
  <si>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</si>
  <si>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</si>
  <si>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</si>
  <si>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</si>
  <si>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</si>
  <si>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</si>
  <si>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</si>
  <si>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CA-2021-154816</t>
  </si>
  <si>
    <t>Richmond</t>
  </si>
  <si>
    <t>Kentucky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</si>
  <si>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</si>
  <si>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</si>
  <si>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</si>
  <si>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</si>
  <si>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</si>
  <si>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</si>
  <si>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</si>
  <si>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CA-2021-125388</t>
  </si>
  <si>
    <t>MP-17965</t>
  </si>
  <si>
    <t>Michael Paige</t>
  </si>
  <si>
    <t>Lawrence</t>
  </si>
  <si>
    <t>OFF-ST-10000918</t>
  </si>
  <si>
    <t>Crate-A-Files</t>
  </si>
  <si>
    <t>CA-2021-149160</t>
  </si>
  <si>
    <t>Canton</t>
  </si>
  <si>
    <t>OFF-BI-10001543</t>
  </si>
  <si>
    <t>GBC VeloBinder Manual Binding System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</si>
  <si>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</si>
  <si>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</si>
  <si>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</si>
  <si>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</si>
  <si>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</si>
  <si>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</si>
  <si>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</si>
  <si>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</si>
  <si>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</si>
  <si>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</si>
  <si>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</si>
  <si>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</si>
  <si>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</si>
  <si>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</si>
  <si>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DB-13060</t>
  </si>
  <si>
    <t>Dave Brooks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</si>
  <si>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</si>
  <si>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</si>
  <si>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</si>
  <si>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</si>
  <si>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</si>
  <si>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</si>
  <si>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</si>
  <si>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</si>
  <si>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CA-2020-147375</t>
  </si>
  <si>
    <t>PO-19180</t>
  </si>
  <si>
    <t>Philisse Overcash</t>
  </si>
  <si>
    <t>CA-2021-130043</t>
  </si>
  <si>
    <t>BB-11545</t>
  </si>
  <si>
    <t>Brenda Bowman</t>
  </si>
  <si>
    <t>OFF-PA-10002230</t>
  </si>
  <si>
    <t>Xerox 1897</t>
  </si>
  <si>
    <t>CA-2020-115756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</si>
  <si>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</si>
  <si>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</si>
  <si>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</si>
  <si>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</si>
  <si>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</si>
  <si>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</si>
  <si>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OFF-LA-10001317</t>
  </si>
  <si>
    <t>Avery 520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</si>
  <si>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</si>
  <si>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</si>
  <si>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</si>
  <si>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</si>
  <si>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</si>
  <si>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</si>
  <si>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</si>
  <si>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</si>
  <si>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</si>
  <si>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</si>
  <si>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</si>
  <si>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</si>
  <si>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</si>
  <si>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</si>
  <si>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CA-2021-147277</t>
  </si>
  <si>
    <t>EB-13705</t>
  </si>
  <si>
    <t>Ed Braxton</t>
  </si>
  <si>
    <t>OFF-ST-10000142</t>
  </si>
  <si>
    <t>Deluxe Rollaway Locking File with Drawer</t>
  </si>
  <si>
    <t>US-2020-157945</t>
  </si>
  <si>
    <t>NF-18385</t>
  </si>
  <si>
    <t>Natalie Fritzler</t>
  </si>
  <si>
    <t>OFF-EN-10001415</t>
  </si>
  <si>
    <t>CA-2019-109638</t>
  </si>
  <si>
    <t>OFF-AP-10002472</t>
  </si>
  <si>
    <t>3M Office Air Cleaner</t>
  </si>
  <si>
    <t>OFF-BI-10001098</t>
  </si>
  <si>
    <t>Acco D-Ring Binder w/DublLock</t>
  </si>
  <si>
    <t>CA-2020-109869</t>
  </si>
  <si>
    <t>TN-21040</t>
  </si>
  <si>
    <t>Tanja Norvell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</si>
  <si>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</si>
  <si>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</si>
  <si>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</si>
  <si>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</si>
  <si>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</si>
  <si>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</si>
  <si>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</si>
  <si>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</si>
  <si>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</si>
  <si>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</si>
  <si>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</si>
  <si>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</si>
  <si>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</si>
  <si>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</si>
  <si>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</si>
  <si>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</si>
  <si>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</si>
  <si>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</si>
  <si>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</si>
  <si>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</si>
  <si>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</si>
  <si>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</si>
  <si>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</si>
  <si>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</si>
  <si>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</si>
  <si>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</si>
  <si>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</si>
  <si>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</si>
  <si>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</si>
  <si>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</si>
  <si>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</si>
  <si>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</si>
  <si>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</si>
  <si>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CA-2018-127691</t>
  </si>
  <si>
    <t>EM-14065</t>
  </si>
  <si>
    <t>Erin Mull</t>
  </si>
  <si>
    <t>CA-2021-140963</t>
  </si>
  <si>
    <t>MT-18070</t>
  </si>
  <si>
    <t>Michelle Tran</t>
  </si>
  <si>
    <t>OFF-LA-10003923</t>
  </si>
  <si>
    <t>Alphabetical Labels for Top Tab Filing</t>
  </si>
  <si>
    <t>CA-2018-133753</t>
  </si>
  <si>
    <t>CW-11905</t>
  </si>
  <si>
    <t>Carl Weiss</t>
  </si>
  <si>
    <t>Huntsville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</si>
  <si>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</si>
  <si>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</si>
  <si>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</si>
  <si>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</si>
  <si>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</si>
  <si>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</si>
  <si>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</si>
  <si>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</si>
  <si>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</si>
  <si>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</si>
  <si>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</si>
  <si>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</si>
  <si>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</si>
  <si>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</si>
  <si>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</si>
  <si>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SC-20095</t>
  </si>
  <si>
    <t>Sanjit Chand</t>
  </si>
  <si>
    <t>Costa Mesa</t>
  </si>
  <si>
    <t>OFF-BI-10002498</t>
  </si>
  <si>
    <t>Clear Mylar Reinforcing Strips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</si>
  <si>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</si>
  <si>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</si>
  <si>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</si>
  <si>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</si>
  <si>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</si>
  <si>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</si>
  <si>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</si>
  <si>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</si>
  <si>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</si>
  <si>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</si>
  <si>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</si>
  <si>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</si>
  <si>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</si>
  <si>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</si>
  <si>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</si>
  <si>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</si>
  <si>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</si>
  <si>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</si>
  <si>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</si>
  <si>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</si>
  <si>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</si>
  <si>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</si>
  <si>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</si>
  <si>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</si>
  <si>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</si>
  <si>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</si>
  <si>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</si>
  <si>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</si>
  <si>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</si>
  <si>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</si>
  <si>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</si>
  <si>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</si>
  <si>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</si>
  <si>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AD-10180</t>
  </si>
  <si>
    <t>Alan Dominguez</t>
  </si>
  <si>
    <t>Great Falls</t>
  </si>
  <si>
    <t>Montana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</si>
  <si>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</si>
  <si>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</si>
  <si>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</si>
  <si>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</si>
  <si>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</si>
  <si>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</si>
  <si>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</si>
  <si>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</si>
  <si>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</si>
  <si>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</si>
  <si>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</si>
  <si>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</si>
  <si>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</si>
  <si>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CA-2019-158792</t>
  </si>
  <si>
    <t>BD-11605</t>
  </si>
  <si>
    <t>Brian Dahlen</t>
  </si>
  <si>
    <t>OFF-FA-10002815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</si>
  <si>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</si>
  <si>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</si>
  <si>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</si>
  <si>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</si>
  <si>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</si>
  <si>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</si>
  <si>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</si>
  <si>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</si>
  <si>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</si>
  <si>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CA-2020-168753</t>
  </si>
  <si>
    <t>RL-19615</t>
  </si>
  <si>
    <t>Rob Lucas</t>
  </si>
  <si>
    <t>Montgomery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</si>
  <si>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</si>
  <si>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</si>
  <si>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</si>
  <si>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</si>
  <si>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</si>
  <si>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</si>
  <si>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</si>
  <si>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</si>
  <si>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</si>
  <si>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</si>
  <si>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</si>
  <si>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</si>
  <si>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</si>
  <si>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</si>
  <si>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</si>
  <si>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</si>
  <si>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</si>
  <si>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Henderson</t>
  </si>
  <si>
    <t>OFF-AP-10001271</t>
  </si>
  <si>
    <t>Eureka The Boss Cordless Rechargeable Stick Vac</t>
  </si>
  <si>
    <t>US-2019-120201</t>
  </si>
  <si>
    <t>LM-17065</t>
  </si>
  <si>
    <t>Liz MacKendrick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</si>
  <si>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</si>
  <si>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</si>
  <si>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</si>
  <si>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</si>
  <si>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</si>
  <si>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</si>
  <si>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</si>
  <si>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</si>
  <si>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DK-13225</t>
  </si>
  <si>
    <t>Dean Katz</t>
  </si>
  <si>
    <t>OFF-SU-10001935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</si>
  <si>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</si>
  <si>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</si>
  <si>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</si>
  <si>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</si>
  <si>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</si>
  <si>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</si>
  <si>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</si>
  <si>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</si>
  <si>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</si>
  <si>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</si>
  <si>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</si>
  <si>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</si>
  <si>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</si>
  <si>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</si>
  <si>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</si>
  <si>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</si>
  <si>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</si>
  <si>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</si>
  <si>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</si>
  <si>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</si>
  <si>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</si>
  <si>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</si>
  <si>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</si>
  <si>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</si>
  <si>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</si>
  <si>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</si>
  <si>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</si>
  <si>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</si>
  <si>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</si>
  <si>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</si>
  <si>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</si>
  <si>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CA-2019-130736</t>
  </si>
  <si>
    <t>JF-15490</t>
  </si>
  <si>
    <t>Jeremy Farry</t>
  </si>
  <si>
    <t>OFF-FA-10003467</t>
  </si>
  <si>
    <t>Alliance Big Bands Rubber Bands, 12/Pack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</si>
  <si>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</si>
  <si>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</si>
  <si>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</si>
  <si>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</si>
  <si>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</si>
  <si>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</si>
  <si>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</si>
  <si>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</si>
  <si>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</si>
  <si>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CA-2021-164826</t>
  </si>
  <si>
    <t>JF-15415</t>
  </si>
  <si>
    <t>Jennifer Ferguson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</si>
  <si>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</si>
  <si>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</si>
  <si>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</si>
  <si>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</si>
  <si>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</si>
  <si>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</si>
  <si>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</si>
  <si>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</si>
  <si>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</si>
  <si>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</si>
  <si>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</si>
  <si>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</si>
  <si>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</si>
  <si>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</si>
  <si>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</si>
  <si>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</si>
  <si>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</si>
  <si>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</si>
  <si>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</si>
  <si>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</si>
  <si>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</si>
  <si>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</si>
  <si>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</si>
  <si>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</si>
  <si>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</si>
  <si>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</si>
  <si>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</si>
  <si>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</si>
  <si>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</si>
  <si>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</si>
  <si>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</si>
  <si>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</si>
  <si>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</si>
  <si>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</si>
  <si>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</si>
  <si>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</si>
  <si>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</si>
  <si>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</si>
  <si>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</si>
  <si>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</si>
  <si>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</si>
  <si>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</si>
  <si>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</si>
  <si>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</si>
  <si>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</si>
  <si>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</si>
  <si>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</si>
  <si>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</si>
  <si>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</si>
  <si>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</si>
  <si>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</si>
  <si>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</si>
  <si>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</si>
  <si>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</si>
  <si>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</si>
  <si>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</si>
  <si>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</si>
  <si>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</si>
  <si>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</si>
  <si>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</si>
  <si>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</si>
  <si>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</si>
  <si>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</si>
  <si>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</si>
  <si>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</si>
  <si>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</si>
  <si>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</si>
  <si>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</si>
  <si>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</si>
  <si>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</si>
  <si>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</si>
  <si>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</si>
  <si>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</si>
  <si>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</si>
  <si>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</si>
  <si>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</si>
  <si>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</si>
  <si>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</si>
  <si>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</si>
  <si>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</si>
  <si>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</si>
  <si>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</si>
  <si>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</si>
  <si>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</si>
  <si>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</si>
  <si>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</si>
  <si>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</si>
  <si>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</si>
  <si>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</si>
  <si>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OFF-BI-10002824</t>
  </si>
  <si>
    <t>Recycled Easel Ring Binders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</si>
  <si>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</si>
  <si>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</si>
  <si>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</si>
  <si>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</si>
  <si>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</si>
  <si>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</si>
  <si>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</si>
  <si>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</si>
  <si>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</si>
  <si>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</si>
  <si>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</si>
  <si>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</si>
  <si>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</si>
  <si>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</si>
  <si>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</si>
  <si>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</si>
  <si>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</si>
  <si>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</si>
  <si>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</si>
  <si>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</si>
  <si>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</si>
  <si>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</si>
  <si>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</si>
  <si>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</si>
  <si>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</si>
  <si>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</si>
  <si>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CA-2021-144694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</si>
  <si>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</si>
  <si>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</si>
  <si>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</si>
  <si>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</si>
  <si>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</si>
  <si>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</si>
  <si>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</si>
  <si>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</si>
  <si>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</si>
  <si>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</si>
  <si>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</si>
  <si>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</si>
  <si>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</si>
  <si>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</si>
  <si>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</si>
  <si>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</si>
  <si>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</si>
  <si>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</si>
  <si>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</si>
  <si>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</si>
  <si>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</si>
  <si>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</si>
  <si>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</si>
  <si>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</si>
  <si>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</si>
  <si>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</si>
  <si>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</si>
  <si>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</si>
  <si>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</si>
  <si>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</si>
  <si>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</si>
  <si>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</si>
  <si>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</si>
  <si>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CA-2020-132661</t>
  </si>
  <si>
    <t>SR-20740</t>
  </si>
  <si>
    <t>Steven Roelle</t>
  </si>
  <si>
    <t>CA-2021-140844</t>
  </si>
  <si>
    <t>AR-10405</t>
  </si>
  <si>
    <t>Allen Rosenblatt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</si>
  <si>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</si>
  <si>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</si>
  <si>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</si>
  <si>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</si>
  <si>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</si>
  <si>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</si>
  <si>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</si>
  <si>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</si>
  <si>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</si>
  <si>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</si>
  <si>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</si>
  <si>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</si>
  <si>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</si>
  <si>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</si>
  <si>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</si>
  <si>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</si>
  <si>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</si>
  <si>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</si>
  <si>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</si>
  <si>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RC-19825</t>
  </si>
  <si>
    <t>Roy Collins</t>
  </si>
  <si>
    <t>Louisville</t>
  </si>
  <si>
    <t>CA-2021-132682</t>
  </si>
  <si>
    <t>TH-21235</t>
  </si>
  <si>
    <t>Tiffany House</t>
  </si>
  <si>
    <t>OFF-SU-10004231</t>
  </si>
  <si>
    <t>Acme Tagit Stainless Steel Antibacterial Scissors</t>
  </si>
  <si>
    <t>US-2021-106663</t>
  </si>
  <si>
    <t>MO-17800</t>
  </si>
  <si>
    <t>Meg O'Connel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</si>
  <si>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</si>
  <si>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</si>
  <si>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</si>
  <si>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</si>
  <si>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</si>
  <si>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</si>
  <si>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</si>
  <si>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</si>
  <si>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</si>
  <si>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</si>
  <si>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</si>
  <si>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</si>
  <si>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</si>
  <si>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</si>
  <si>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</si>
  <si>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</si>
  <si>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</si>
  <si>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</si>
  <si>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</si>
  <si>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</si>
  <si>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</si>
  <si>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</si>
  <si>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</si>
  <si>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</si>
  <si>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</si>
  <si>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</si>
  <si>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</si>
  <si>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</si>
  <si>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</si>
  <si>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</si>
  <si>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CA-2018-157784</t>
  </si>
  <si>
    <t>MC-17845</t>
  </si>
  <si>
    <t>Michael Chen</t>
  </si>
  <si>
    <t>Mississippi</t>
  </si>
  <si>
    <t>OFF-LA-10001934</t>
  </si>
  <si>
    <t>Avery 516</t>
  </si>
  <si>
    <t>US-2018-117135</t>
  </si>
  <si>
    <t>NP-18325</t>
  </si>
  <si>
    <t>Naresj Patel</t>
  </si>
  <si>
    <t>Waynesboro</t>
  </si>
  <si>
    <t>OFF-ST-10002444</t>
  </si>
  <si>
    <t>Recycled Eldon Regeneration Jumbo File</t>
  </si>
  <si>
    <t>CA-2019-131534</t>
  </si>
  <si>
    <t>AB-10165</t>
  </si>
  <si>
    <t>Alan Barnes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</si>
  <si>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</si>
  <si>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</si>
  <si>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</si>
  <si>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</si>
  <si>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</si>
  <si>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</si>
  <si>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</si>
  <si>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</si>
  <si>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</si>
  <si>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</si>
  <si>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</si>
  <si>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</si>
  <si>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</si>
  <si>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</si>
  <si>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</si>
  <si>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</si>
  <si>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</si>
  <si>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</si>
  <si>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</si>
  <si>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</si>
  <si>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</si>
  <si>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</si>
  <si>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</si>
  <si>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</si>
  <si>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</si>
  <si>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</si>
  <si>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</si>
  <si>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</si>
  <si>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</si>
  <si>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</si>
  <si>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</si>
  <si>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</si>
  <si>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</si>
  <si>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</si>
  <si>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</si>
  <si>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</si>
  <si>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</si>
  <si>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</si>
  <si>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</si>
  <si>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</si>
  <si>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CA-2018-153150</t>
  </si>
  <si>
    <t>OFF-BI-10003355</t>
  </si>
  <si>
    <t>Cardinal Holdit Business Card Pockets</t>
  </si>
  <si>
    <t>CA-2018-104472</t>
  </si>
  <si>
    <t>CK-12325</t>
  </si>
  <si>
    <t>Christine Kargatis</t>
  </si>
  <si>
    <t>Orem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</si>
  <si>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</si>
  <si>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</si>
  <si>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</si>
  <si>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</si>
  <si>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</si>
  <si>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</si>
  <si>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OFF-ST-10000036</t>
  </si>
  <si>
    <t>Recycled Data-Pak for Archival Bound Computer Printouts, 12-1/2 x 12-1/2 x 16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</si>
  <si>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</si>
  <si>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</si>
  <si>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</si>
  <si>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</si>
  <si>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</si>
  <si>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</si>
  <si>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</si>
  <si>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</si>
  <si>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</si>
  <si>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</si>
  <si>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</si>
  <si>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US-2020-150861</t>
  </si>
  <si>
    <t>EG-13900</t>
  </si>
  <si>
    <t>Emily Grady</t>
  </si>
  <si>
    <t>Oceanside</t>
  </si>
  <si>
    <t>OFF-PA-10001954</t>
  </si>
  <si>
    <t>Xerox 1964</t>
  </si>
  <si>
    <t>OFF-ST-10004634</t>
  </si>
  <si>
    <t>Personal Folder Holder, Ebony</t>
  </si>
  <si>
    <t>CA-2021-131954</t>
  </si>
  <si>
    <t>DS-13030</t>
  </si>
  <si>
    <t>Darrin Sayre</t>
  </si>
  <si>
    <t>OFF-BI-10000138</t>
  </si>
  <si>
    <t>Acco Translucent Poly Ring Binders</t>
  </si>
  <si>
    <t>CA-2018-112326</t>
  </si>
  <si>
    <t>PO-19195</t>
  </si>
  <si>
    <t>Phillina Ober</t>
  </si>
  <si>
    <t>Naperville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</si>
  <si>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</si>
  <si>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</si>
  <si>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</si>
  <si>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</si>
  <si>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</si>
  <si>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</si>
  <si>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</si>
  <si>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</si>
  <si>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</si>
  <si>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</si>
  <si>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</si>
  <si>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</si>
  <si>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CA-2021-126074</t>
  </si>
  <si>
    <t>RF-19735</t>
  </si>
  <si>
    <t>Roland Fjeld</t>
  </si>
  <si>
    <t>Trenton</t>
  </si>
  <si>
    <t>OFF-BI-10003638</t>
  </si>
  <si>
    <t>GBC Durable Plastic Covers</t>
  </si>
  <si>
    <t>OFF-BI-10000546</t>
  </si>
  <si>
    <t>Avery Durable Binders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</si>
  <si>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</si>
  <si>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</si>
  <si>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</si>
  <si>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</si>
  <si>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</si>
  <si>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</si>
  <si>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</si>
  <si>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</si>
  <si>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</si>
  <si>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</si>
  <si>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Green Bay</t>
  </si>
  <si>
    <t>CA-2019-112319</t>
  </si>
  <si>
    <t>CA-2021-126046</t>
  </si>
  <si>
    <t>OFF-LA-10004484</t>
  </si>
  <si>
    <t>Avery 476</t>
  </si>
  <si>
    <t>CA-2018-162775</t>
  </si>
  <si>
    <t>CS-12250</t>
  </si>
  <si>
    <t>Chris Selesnick</t>
  </si>
  <si>
    <t>Bossier City</t>
  </si>
  <si>
    <t>Louisiana</t>
  </si>
  <si>
    <t>OFF-EN-10001532</t>
  </si>
  <si>
    <t>Brown Kraft Recycled Envelopes</t>
  </si>
  <si>
    <t>OFF-BI-10004187</t>
  </si>
  <si>
    <t>3-ring staple pack</t>
  </si>
  <si>
    <t>OFF-ST-10000025</t>
  </si>
  <si>
    <t>Fellowes Stor/Drawer Steel Plus Storage Drawers</t>
  </si>
  <si>
    <t>CA-2021-104220</t>
  </si>
  <si>
    <t>BV-11245</t>
  </si>
  <si>
    <t>Benjamin Venier</t>
  </si>
  <si>
    <t>Des Moines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</si>
  <si>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</si>
  <si>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</si>
  <si>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</si>
  <si>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</si>
  <si>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</si>
  <si>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</si>
  <si>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</si>
  <si>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</si>
  <si>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</si>
  <si>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</si>
  <si>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</si>
  <si>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</si>
  <si>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OFF-PA-10003657</t>
  </si>
  <si>
    <t>Xerox 1927</t>
  </si>
  <si>
    <t>US-2019-157014</t>
  </si>
  <si>
    <t>BM-11785</t>
  </si>
  <si>
    <t>Bryan Mills</t>
  </si>
  <si>
    <t>CA-2019-154921</t>
  </si>
  <si>
    <t>Columbia</t>
  </si>
  <si>
    <t>South Carolina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</si>
  <si>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</si>
  <si>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</si>
  <si>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</si>
  <si>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</si>
  <si>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</si>
  <si>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</si>
  <si>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CA-2019-115938</t>
  </si>
  <si>
    <t>SA-20830</t>
  </si>
  <si>
    <t>Sue Ann Reed</t>
  </si>
  <si>
    <t>OFF-BI-10001132</t>
  </si>
  <si>
    <t>Acco PRESSTEX Data Binder with Storage Hooks, Dark Blue, 9 1/2" X 11"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</si>
  <si>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</si>
  <si>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</si>
  <si>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</si>
  <si>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</si>
  <si>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</si>
  <si>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</si>
  <si>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</si>
  <si>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</si>
  <si>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</si>
  <si>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</si>
  <si>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</si>
  <si>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</si>
  <si>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</si>
  <si>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Row Labels</t>
  </si>
  <si>
    <t>Sum of Sales</t>
  </si>
  <si>
    <t>Years (Order Date)</t>
  </si>
  <si>
    <t>(All)</t>
  </si>
  <si>
    <t>Sum of Quantity</t>
  </si>
  <si>
    <t>Sum of Revenue</t>
  </si>
  <si>
    <t>Sum of Profit</t>
  </si>
  <si>
    <t>Jan</t>
  </si>
  <si>
    <t>Feb</t>
  </si>
  <si>
    <t>Mar</t>
  </si>
  <si>
    <t>Grand Total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</si>
  <si>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</si>
  <si>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</si>
  <si>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</si>
  <si>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</si>
  <si>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</si>
  <si>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</si>
  <si>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</si>
  <si>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</si>
  <si>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</si>
  <si>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Customer</t>
  </si>
  <si>
    <t>Column Labels</t>
  </si>
  <si>
    <t>2018</t>
  </si>
  <si>
    <t>2019</t>
  </si>
  <si>
    <t>2020</t>
  </si>
  <si>
    <t>2021</t>
  </si>
  <si>
    <t>Category Product by Sales &amp; Revenue</t>
  </si>
  <si>
    <t xml:space="preserve">Product by Sales </t>
  </si>
  <si>
    <t>Product Sales Trend</t>
  </si>
  <si>
    <t>Customer by Quantity</t>
  </si>
  <si>
    <t>State by Sales &amp; Revenue</t>
  </si>
  <si>
    <t>Top 10 Cities by Sales</t>
  </si>
  <si>
    <t>Top 5 Customer by Sales</t>
  </si>
  <si>
    <t>Segment by Sales</t>
  </si>
  <si>
    <t xml:space="preserve">Total Ship Mode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</si>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</sst>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/>
  </cellStyleXfs>
  <cellXfs count="23">
    <xf numFmtId="0" fontId="0" fillId="0" borderId="0" xfId="0"/>
    <xf numFmtId="0" fontId="4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5" fillId="3" borderId="1" xfId="2" applyFont="1" applyFill="1" applyBorder="1"/>
    <xf numFmtId="0" fontId="5" fillId="3" borderId="2" xfId="2" applyFont="1" applyFill="1" applyBorder="1"/>
    <xf numFmtId="14" fontId="6" fillId="3" borderId="2" xfId="2" applyNumberFormat="1" applyFont="1" applyFill="1" applyBorder="1"/>
    <xf numFmtId="0" fontId="5" fillId="3" borderId="3" xfId="2" applyFont="1" applyFill="1" applyBorder="1"/>
    <xf numFmtId="0" fontId="5" fillId="0" borderId="1" xfId="2" applyFont="1" applyBorder="1"/>
    <xf numFmtId="0" fontId="5" fillId="0" borderId="2" xfId="2" applyFont="1" applyBorder="1"/>
    <xf numFmtId="14" fontId="6" fillId="0" borderId="2" xfId="2" applyNumberFormat="1" applyFont="1" applyBorder="1"/>
    <xf numFmtId="0" fontId="5" fillId="0" borderId="3" xfId="2" applyFont="1" applyBorder="1"/>
    <xf numFmtId="0" fontId="2" fillId="3" borderId="4" xfId="0" applyFont="1" applyFill="1" applyBorder="1"/>
    <xf numFmtId="0" fontId="0" fillId="0" borderId="0" xfId="0" applyAlignment="1">
      <alignment horizontal="left"/>
    </xf>
    <xf numFmtId="0" fontId="2" fillId="0" borderId="0" xfId="0" applyFont="1"/>
    <xf numFmtId="0" fontId="2" fillId="0" borderId="4" xfId="0" applyFont="1" applyBorder="1" applyAlignment="1">
      <alignment horizontal="left"/>
    </xf>
    <xf numFmtId="0" fontId="0" fillId="0" borderId="0" xfId="0" applyAlignment="1">
      <alignment horizontal="left" indent="1"/>
    </xf>
    <xf numFmtId="9" fontId="0" fillId="0" borderId="0" xfId="1" applyFont="1"/>
    <xf numFmtId="0" fontId="0" fillId="0" borderId="5" xfId="0" applyBorder="1" applyAlignment="1">
      <alignment horizontal="left"/>
    </xf>
    <xf numFmtId="0" fontId="0" fillId="0" borderId="0" xfId="0" pivotButton="1"/>
    <xf numFmtId="0" fontId="0" fillId="0" borderId="0" xfId="0" applyFill="1"/>
    <xf numFmtId="0" fontId="2" fillId="0" borderId="4" xfId="0" applyFont="1" applyFill="1" applyBorder="1"/>
    <xf numFmtId="0" fontId="0" fillId="0" borderId="0" xfId="0" applyNumberFormat="1"/>
  </cellXfs>
  <cellStyles count="3">
    <cellStyle name="Normal" xfId="0" builtinId="0"/>
    <cellStyle name="Normal 2" xfId="2" xr:uid="{6A87F2DA-566C-48A8-8B8C-2760EBF5FDAC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[1]Sheet10!$AD$44</c:f>
              <c:strCache>
                <c:ptCount val="1"/>
                <c:pt idx="0">
                  <c:v>Consumer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[1]Sheet10!$AE$43:$AH$43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[1]Sheet10!$AE$44:$AH$44</c:f>
              <c:numCache>
                <c:formatCode>General</c:formatCode>
                <c:ptCount val="4"/>
                <c:pt idx="0">
                  <c:v>3970.9639999999999</c:v>
                </c:pt>
                <c:pt idx="1">
                  <c:v>12679.677999999998</c:v>
                </c:pt>
                <c:pt idx="2">
                  <c:v>5689.4229999999998</c:v>
                </c:pt>
                <c:pt idx="3">
                  <c:v>3883.9170000000008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2-4CE7-A134-C73AB4DE0946}"/>
            </c:ext>
          </c:extLst>
        </c:ser>
        <c:ser>
          <c:idx val="1"/>
          <c:order val="1"/>
          <c:tx>
            <c:strRef>
              <c:f>[1]Sheet10!$AD$45</c:f>
              <c:strCache>
                <c:ptCount val="1"/>
                <c:pt idx="0">
                  <c:v>Corporate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[1]Sheet10!$AE$43:$AH$43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[1]Sheet10!$AE$45:$AH$45</c:f>
              <c:numCache>
                <c:formatCode>General</c:formatCode>
                <c:ptCount val="4"/>
                <c:pt idx="0">
                  <c:v>3281.9680000000003</c:v>
                </c:pt>
                <c:pt idx="1">
                  <c:v>2722.3320000000003</c:v>
                </c:pt>
                <c:pt idx="2">
                  <c:v>5667.7700000000023</c:v>
                </c:pt>
                <c:pt idx="3">
                  <c:v>5722.2739999999994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2-4CE7-A134-C73AB4DE0946}"/>
            </c:ext>
          </c:extLst>
        </c:ser>
        <c:ser>
          <c:idx val="2"/>
          <c:order val="2"/>
          <c:tx>
            <c:strRef>
              <c:f>[1]Sheet10!$AD$46</c:f>
              <c:strCache>
                <c:ptCount val="1"/>
                <c:pt idx="0">
                  <c:v>Home Office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[1]Sheet10!$AE$43:$AH$43</c:f>
              <c:strCache>
                <c:ptCount val="4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</c:strCache>
            </c:strRef>
          </c:cat>
          <c:val>
            <c:numRef>
              <c:f>[1]Sheet10!$AE$46:$AH$46</c:f>
              <c:numCache>
                <c:formatCode>General</c:formatCode>
                <c:ptCount val="4"/>
                <c:pt idx="0">
                  <c:v>2595.7359999999999</c:v>
                </c:pt>
                <c:pt idx="1">
                  <c:v>1005.8359999999999</c:v>
                </c:pt>
                <c:pt idx="2">
                  <c:v>6196.1170000000002</c:v>
                </c:pt>
                <c:pt idx="3">
                  <c:v>2308.0039999999999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F2-4CE7-A134-C73AB4DE09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2762271"/>
        <c:axId val="322750751"/>
      </c:barChart>
      <c:catAx>
        <c:axId val="322762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50751"/>
        <c:crosses val="autoZero"/>
        <c:auto val="1"/>
        <c:lblAlgn val="ctr"/>
        <c:lblOffset val="100"/>
        <c:noMultiLvlLbl val="0"/>
      </c:catAx>
      <c:valAx>
        <c:axId val="32275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2762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plotArea>
      <cx:plotAreaRegion>
        <cx:plotSurface>
          <cx:spPr>
            <a:ln>
              <a:solidFill>
                <a:schemeClr val="bg1"/>
              </a:solidFill>
            </a:ln>
          </cx:spPr>
        </cx:plotSurface>
        <cx:series layoutId="regionMap" uniqueId="{00000000-B497-42EC-BDFD-A0412B538725}">
          <cx:tx>
            <cx:txData>
              <cx:f>_xlchart.v5.5</cx:f>
              <cx:v>Sum of Revenue</cx:v>
            </cx:txData>
          </cx:tx>
          <cx:dataId val="0"/>
          <cx:layoutPr>
            <cx:regionLabelLayout val="none"/>
            <cx:geography cultureLanguage="en-US" cultureRegion="ID" attribution="Powered by Bing">
              <cx:geoCache provider="{E9337A44-BEBE-4D9F-B70C-5C5E7DAFC167}">
                <cx:binary>1Hxpb9y6su1fCfL5yVucyYu7D7ApdbfbUxwPmb4IHceRRM2k5l9/q2MncbSds31xfPHgRoDArWZ3
iUusWrWqyP++Gf/rJr/d2VdjkZfuv27GP18nbVv/1x9/uJvktti5gyK9sZWrvrYHN1XxR/X1a3pz
+8cXuxvSMv4D+4j+cZPsbHs7vv7Xf8O3xbfVSXWza9OqfNvd2uni1nV56/7NtUcvvdp9KdIyTF1r
05sW/fl6nVc2/bJ7/eq2bNN2uprq2z9f//Kh16/+WH7V3372VQ6Wtd0XGIvlAVOMIUr8uxd6/Sqv
yvj+sifxAZWCUCzvP0C+//bZroDxTzDomzm7L1/srXNwQ9/+fzDwF+vh/ZPXr26qrmz3kxbD/P35
+rpM29svry7bXXvrXr9KXRXcfSCo9rdwffntnv/4ddr/9d+LN2AWFu88QGY5Zf906W/A/JXvPu+K
ZwSG4APBOcUYiwUi/EBSnxDsY3X3+hWRJ1jyOCI/Bi4Q+euFImKzXel28MA811oh9EAqJX2C2N3E
y1+RUbBWiEKMMXm3ltj3375bK389waLfQPNj5BKbixe5Wo4Bku4mm77Pz3/ux4g4YFhgydn9qlhg
I9kBlkIIgu792AKbp1j0ODY/Ry6wOf74IrH5y6ZzVT6nJ6MHWBGMJaJ3y2bh0BBCB+DpmOKMf1s3
EILuluz3ZfOPBj2OzI87WQDz16cXCUywy9OvlS3T58RGHGBGOVdIPRr+EVIHHAksEEWPBZun2fQ4
PA/HLhAK/nqRCJ2mN0ka78rvz+9/7tYohBxBhRLyfvr/7tYE8ZVQAOC3F//+23dr5ykWPY7Oz5EL
bE63LxKboALqvPtSfZ+f/xwbIg+ADTDmU/z42vHZAaNCEr7gzE8x5XFQfo5cgBK8eZGgnN1+tjuX
PaNDo2jPAxAR4i6W+HjB0dSBRL7AmLA70BYL5ikWPY7Nz5ELbM5WLxKboCrL25s2vena51sze3gE
Q4x8n36I9Q/TTQFZD5FAFfCCnz3Rmseh+WXwAp3g6kWiE97mu2Fnb58PGqIOfF8KDivjLpSoBTTs
gHLJKUGQBO1fC4SeYtHj8PwcucAmfJkr5+x2eHV0a93tM+Y31D9ARPmKEXTntxZ+TdADLiQDJeoO
HEW/Pxl3ROBpNj2Oz8OxC4TOjl7k6tncVjZ+Vh6NDzgFv0XVPTwLvybJAaWUCOrfSwMLSvAEgx7H
5sfABTCbl8mgz2773XPKm+DUCOOUMiDJ314L/owQP+CMESnkHTCA28Pc85/teRyW7+MWqJy9e5HL
ZZvnaVmlzyil7d0Zpgi48b0msAg2Uh0gKjlh8mcweojLUyx6HJmfIxfYbF+mzHmaOrf/V9fp90f3
GVIboGEYyMCP2f87PCDWYMh87lOfBYt+olGPI/TL4AVIp5cvcwGVX9Lds2pq6mCf8VP5XWqGePKQ
R0sOcicCWQDKBN9eC7K2/WeDHgfnx8AFMNuzFwnMRQIlpFdbl+/KL8+3fCDL4Vhixe6ZslpEHQFZ
EIKAsxc9v70WbOCpVj0O0a+jFzhdbF8kTttq2D0jPvjAF5QzQend6lisHkUO9uoAR/799YV7+ydr
HsflbtQCj+3L5GknVZe6Z3Zp/oECacbn/HsK86tLUwiqb0hCHeGeyi0ynCeZ9DgyD4Yu4Dl5mfCc
7pzb3SSdu21b96zrBmoBRPiQiD7GpsGvcZ9BbVpCiechXXuyPY/jsxi+wOj0hWKUgr7mqvY5/Ro/
IJCBQhH6PstEiyVED5CCRg4oxi3weYotv8Hm59AlLi+TEuzpZ9XZ52TT8oBwAUyNPq7d7PsGoDIt
EL73fAuy9hSLfgfO93tZYvNS6wXDq9PbMb15zjIOPaAYCgaI3lcMFmQA+fwA+RLENwnL6aFX2+ti
/2zN48g8HLvA5uz0RVK006psnzXHoeIAQglDClSzb6+/AQO1acoQ5mRBBZ5gyuOo/Bi4gOT06kVC
sn/IPlY2+/7Y/ufCAMUHiihM9+1nj2EiGGQ+vs/4916PBXN+ikWPQ/Nz5AKbs48vE5vKtsmrYGcr
0NaekQMQKDoTRcQPxXPRbSNAWZMgeHJ+7+6WCD3Zrt/gtBi/RCt4kWi9SdJnDDmgflJoEwTP9jiP
hqZbuEKg7Vb8WGUPA88/WfM4MnejFni8OXyZeGT5Lqmetd8W1o0kFFSBuyn3l9wZGgyBBfi+AFXt
2+u7V70rsL15gkW/weXHyCU2xy8TG3sbV8/ZA0Ug5kgoPRP+Y+Yfap0I+wfQcot8aLZZYPKPlvwG
kftxSzxeZrPt+W1Zuinvd8/aOQg+TCpoHLzPNP3lehHiQBIplXjg4x76sKda9ThCv45e4HT+14tc
N5dV93/DCGD9+ERBknOffi54tNwjCYVp6MO9W18LRvB0ux7Hajl+gdbly2AEN/92T8rdk33Hr3/5
5P9yOw7Uq0E/A2EaRLbH+LWCJp191RTgvMNqkfkstsr83qzHoVoM/+VOXsY+nCtwdrDP6Pb2eyT4
z3MeYNSSwq4C/75FYNlSCLU2Qgnet0nfYbaQCZ5k0uN4PBi6WDVXL1Ncu7odn3VHDoKeNCIp+K4f
U/+QGsByIZCqQhD6uSvkYRD6R3N+B8u3u1hC8uFFhp3rdpc842KBGYcKAbQR3vPoRZ/at80eAqo4
mC/CzD/Z8TgUd6MWSFy/TLnmXQpNac9K0va7ohCWCuTnu3CxLETLgz2DY8q/vw7U4OH6eIpFj+Py
c+QCm3cvk5y937kEtvq2z5rYCJABEER7eT/7C6nmLrGBvsLvhYNFYHmaTY/j83DsAqH3LxSh1N1U
pUufM/OEploCjc6E3+s0f2+DEhBdGFOPb45+/xSTfoPPz6FLeP4/dXD8fvP0j/3l4a7drb5tTH+w
f/rfX/1297BbfjH03gs9St7uHNT2C2xeh11pEF9+bHjff8kv/uv0Z3Hyb6Nud67987UHnYZUEtBL
GVUEcepDWBpuv11SsDmOSOWD9ACcHEHD2+tX5V7e/PM1hTAn6Z6oMwx6OCzh16/cPn+DS9DqC31X
TMFOU+ifg2/+cSTAeZVPII38mJH7v1+VXXFepWXr/nyN0L42W999cH+PzFdISB+Dk4BdlMjHyIfr
N7sL8Eb7z/8/kmSqaGnpH5e+VyVNF0AlywtHVEaHaYvGepVR0lZ6In1t16MHO2BXvG7J7Tjmwuli
Tktdd5M7HaeIqko3xMzvxzmn9B1SOcnCwaHPscTxdTF2Ikhjzt73lLanjR+35/OgvGidVobFuko8
cRoPcDHo+ajqjWeS7NC2pjwWZpwPi5G9zW1LPnsDjaZj3zWj1JTj9qQ3ipbXJIs6ceLmZvaDLudD
V2hakO6LmSerS+zGIOKVr5Wp1/PkhnDO3BQS65MgEaT7OBg2JKPu+sI7zUjKZt3YQtTrDLC9jKO8
4AHBZZWt6jxKr1EyNTpOhnIObGp6vgXlz30RtmouOe3w1ok22eDRfMkbNa1SkaaB85vU6L7HeGNw
ejVlJDvnRkTmED5CTidhoiJsR5IetiVprbbQdrxqkbcbMzpq6Zti2FonvGAuFVk1Cqsx6GXSh3Mi
GraaqecukJ+z016xcYXaTqBtp1RTHbezit7NhRSXtWDRlW0nLLc2aokXGlez/Dh31DWBsJH50A82
WXkEiyDjQsAc1L1uurE84qrKj9tawFx2xZBqzF3k62yahuO2a2MZeHGdrETK54umjGnqb6K4sIcZ
4pmG0xgGjdvhcDLDXIZCTn0S0KgxazlF0SGtCvyhnslU6Nl585XKRU51Gw8iPaSeL3OgA7Irr+P9
Fmx/1ZUUj95qaHPl3AZ3ZvLdNolZWejC5CxFu9jNNgbkcqQZy9WqcDTATU3PZhYNq9GPyhVXJdqm
/Xwhk4ivVELzIMuqwQQps7GmVVMECVettl3rpM5nj6TaMTys8jnqAzvKWpeeuMpGFhYMb+POnrJJ
Gj0PsxZpdUabuQk6lm3oWERHIivXJc/cteclb0eChLbwM+t4Hltd9NNH5A/zWog0Wkf9dOnnxm0b
mySrmTfmpCk8f1szmq3bqMFHyitbnTnkVs5LjC7omB7RLq/Wg6zSYy+f5q3fwNLEPMfXasKfylbS
oEGx0CZpvYC2pl9XpWjbI9hIZbYuHT7byuZHNqXxccNFF85z4a9sPW0qTwWO1t2azjXMj9eEaeGV
Qdx4ytM1MkkQJ8ktm5sPYkRGq6iqNW/8WStqMxn4VA6h6qb4pGRjqV061ZvGzJdt6jmNqhTpHrMo
oNagc7DeHBs2eVZHY1tvESHdbZ3XUygTApMDi+2wqfswEzXRZTy3h1XTbMuBXTYkv8hkejKjaKNs
5wcGz1cpbzeV79SRiIcLp9JtORc4lP60ig3MfsyTQPb02jXNRk7jqcHeqBXrxrWt83bVR7PTcUTf
cTKneigLF6Iiv82pbzUuBx6aPOkuU688lQ1CgWq5003LwAmm8pTWhdWmGEftQ8uZhlZO+tbvknJV
jLYMhOoHeLZqh0rAg2+wK1zgJao7lDa/mcWU6gb76oiDuzzqLIn0GBFzlqjWHHaSJCGsCvQ2Tpq3
vXErOGEllLDh/myU1OzyvTfLukjUWhrnHdc1phcpbvhRVbdJAIDZdT3W6qNokg++53qd4/Fr0hbo
MBauC1za5JojOQXMi9RRN6Vk5cCtv23JUOt45mqbGXERcft26Ft/DW5CHlfGG0TgMt6+B7/ShbgX
Ua9r0pozg7s+aNqs3fgA1Nqvmu6MxSy5IOOoTu3oX8zWa0Nqio8uxjgwqnszjcW6bJpEj6YWei7d
heMleJck0VHnm7UhGQHzKrpLaHqWkQSiQxMFY4bUJjXtVV5mfI2LObocsuG09hobjKg118Iz1yxW
qc69fudm9YHHeIs7xuE57up1keejTvCwdoPdVtxsFDYRzGJDzzCKm80g7U3JJrZidnaHfouv6khk
8ABnlQyLJO+PWTP4ZwkiF52qT3KXvOMZnjXO55Vf0UmDp11xT32ianABoSzI9r609uS5dGTjUjNe
jABdoes+bgJwo/JTFsXoQ84kDy0RsNQ8Gmks+lMx9au+yY4gEW7XrG/wseVG6qav0yaIVJUE2ZTL
TT528zap2sO2Nkd9GmWbNvfTIFZerdPeW0Mwy4M5UkLLgapCV7SjN9QDvHRbefJsmn36Nimop2dh
m9O8S71gGvpqVRuWfK5HToMBdydj2kBMGPJrRPvDMqpOVT9DYDVKrbBtL/vJnTWpKG76sTxUcvpg
RJavergfPmZVFlAm0uN+IltkC7SmSSRxEDM2n42M5r1mUVOH3ZygY5ayeD15ZNKui8nHqOrqC+Kj
rNSebct6JTPwTH1ByvPY612mK5vwoIW4VqdDeThVzIQgH9Trsqu7ExyXUZBiXB+qzk91RLzrxBv2
4XmIw4or7Ul2NsBO33demZdv/Ljux5BOOY1TPc2muyiNJ7fKZfPR2JNrOvr1Z8/2XnwYFWWXrZkY
iNMkR4PVlFZTfwhxFq/6Vt0UXn+OEpEGLR3aC8fK86H0vKDJvLfFlHRvsjF97yyx627k1VEz8/fS
0fxqTLMj7KF2heD2QlzmzSdwr/RwQFO0MzOyq4FFdktGD69M1ScbnvNUS1lnQZFRuFnXf1Rx7Fal
L73TuB+yd7VqB616J7/yjsVhx2qsWULyXSXFdCkGj+uskx9JxuqgkIV4J8Schl7E/QCLxFyVcenr
cfDdRom80ISMVTjS/SICwIwmI8nWjUzBISswL7auWBXmS22zz5PviQulyv49cf3KV11ylvsZC6ce
QrYwNSoCmVqaBHNtqa59mx+7ea4OTddR4AhlfIpwfthmURZ4TNSrrlPVhSxwE4O7Tbq3XkPk4Sx4
896b1WHVTuNV72K6RipVaaDmLD0p2/ZLk8kb8M75ulFchZ2NuuvUoGNeErWplZ1CNnjpKqo5BIhU
8bDFpA8S2CZZBl5l8FlJSBpUmDUnBrlZwxFd00lBB3U4VGgMRdLc5HGBgm7MU3Re1z26BAfpxhXp
SC41b4ck31Ag4mta0AyCl/PKj41Q5DjmE1vnwAXf+YMlU1DJXI7aoxO5LBKCPpc5459pWia6mdtY
6ShptIdyIAwdzDlW4CxnJoEeF/2R6GZPp50flgS/iSBRIbBuS9tFR4nKwwKYR5DItI+ToIhQMSTH
thvEOiv6+FJ5QETRKRCtoCj7d1bNW46HL1XE+aapxRwWbT2uuijm26issJ5HpjQEyQ2gdsQMbbVK
+zrMq8rokXaf+pa2AZ7rTpd1REKWV5G2UQPxL6sOE1rWeorqVtcS5YekxVQn1vRHpT+sIkvOTGLI
dUq53eQ1l8dpUlTHpk2KIBPqcpqTdd439sImPd346HOXJ0CYTFStTBFdo9gWOm9wGHmUhDyp69Ax
q2VvoiPLp3IlmvxwLuG5K+zotFQYBZVX1kFK+1DmYwPuJGUaNpX12jW9lnOWfBpUe8KB4K99CVNc
qPp6rMpqBSXLWrO0OB54OoUGySKEVMXA4+HRXMeihpiYV9uqohdqKOiGx+QmL7vrqp7YG4/Pb9sC
8hTcsmk9DiUNbN2GNZ0STWpmTz079ms7e/hdPlin27worsfWFQHGBkLd5FFtkPU0qfLAJMzLNDZV
dZIV83XR1OO6csDp0ipKv2QWhWgU89s5had8zLmefFpoPsroWqD8pEk6emapaoOuKb8C+XU6S9wK
mbkKEi/DAGn/Zkxcsp7zrri21KRhTrt43dBSrSgFsoMbyfTkmfw0i8G5TENWrJXPmjMuo8++s3Go
spFvkiEb3zaT8NbKcRRMuQDWg2r1xq/NWTlO3Rn2q6ComiGYnc10Qv3pDBt15CHpBzOvSCD6vtdw
0slwIon4UkG+kSPvI5bzLq75RiDXnUCaO8FkZOshn7eRzPrV7HmbPPnqyabTiDv/BDlTHzaZPW9S
clyOCbjHpJFB16f+uq4hve2xJRvS9htcMaSJMccSmj+BJ/hHfiavmUiIJum8G0V3E3Xx56rK4Pmp
yNuuPRVVdF31c6shnYo/eR7ug47m2zad5yAm4mRW8oOsq9AqVW0yCI4ax7I+iyJstFf66ITS+q0Z
gJ15zvhB280u1ZmM/bMsqgagZ955x5te6qwYZwgJJoLbhUjQaN+rk/UkpdtaeII/TTa5JdkAz0g0
TDoh2Fk90LztdcKKj3llimqVpqg4g5BFZz1WJAeCV1kR4sSWb4cWt4e9NzaBb3i2MakX26DG1k+C
Kmvrj3hAaTAOPYMkp26uh07m275P+i2w6myrRFJuqCrpup7m+HjwO762ZXc12TnWTaXeKNmZ8zL1
0FeWuu54TlJ+VBNpD3E+ZUddFU1rNlB7RcupCqXFO8jhzWlWUkjwY//NPMd90LsqPiGjIEEHZ0Gc
QhMuXTXzOG5INcrQ9JAt9YJ66xaOxgltGgMBKMtNXxIaxqMHSVUTGw3nJsYhaBueLon/JqadDHht
yAonefSGo5Yfinz6LItO6QKLnYhzmDEgtadll5eH1kxbZvtZ26E/Q0UFtMIlAmKx+gSHJaVhA+ci
hqZIeu3VrAQaZOdwyODrnRqCDtZOzEege5D1ryk2JSgDOKjG0ayTys+3wBu3oihNkOdFvwZ3xVbg
zSeAnpWrPEs3JqnfQDIlLzrj0Q2kwqC4kNF87DOlgElTPzuFUA1RaIBs4Wxy6rh0pdR1ZmiII8F0
lxWB10P6USHcHIvJ+ZrHeXroMooCa2ujs9b5x23WtEeuIl+buTudVG71PrfAc3qGwLuvxjkuzo0F
GKuMa6MyvEJ5PgTe4CHNq7QNs0Z6xwM15ykusM6q4jTm4l0lldsAv26CsYbH343jukT+Jh5A78hb
BrkMS6Z1l6XwVbLDOoUzHueqfsur9nSqJ6PtFIVzTFagMkCehUkZFF5R6qFN4PZykGuIC/xkBK/M
/OgwqXK7mrOaAWmZjgZYqUEX5ZH2uxZ8JEM2BAL4uRfmcyrYVtLmfGyrcZu6CYeQQh6Di35XR325
pt24glQLnmQ0iaDt3aBhNfhnM+rwRo4DyCgzBF3akq2t0cVkvK003WrueRY0DSoVJDpz+b6hHsgm
wzDINc7RFfjOCzzFE9xR364yPkDmJYcgtpAOtp6v57nWHSgCIYrS4SiB8080o+Xnsq3UWxN7AKRk
m2ZokpCPZL6Go9TOxazacKwRDonz161jQlNrDQ+AKHshz8WkIcExV0WU3ErUnLkZH2eS7wjC6xoO
AEXFpmvlV9tPNaS56bQq0WwCV6iwMWWATG3Cuem/1q3NgtzLPiWNl6waiiHJrL0gw1UFoooErWQ2
Kg7LErSABM1AW0z0yVTm3CbgoAPXWT4GtU/Fm6Lr8ZEHnL7WY5xjPfSQlPfNZOFDEMnrPiu08utm
VbqxtGHSCj00/Lgu0LH1WcDNWAARy/JuDSpOfAQhi+lsRqKBCD013YlXzXZDHc6VFpzabZo30bkE
r9bqyiHLCqDGTSL1CIy8vfIoL9y6kM6b1tbLBhsQlIDUxiFHmMB94C5dG9hM02BdwhyxqAbNofMm
/6QTkn522Siy9iRCyoFioR+eQPqLynsDnADcU3J/9uuPP/91VRXw79uRpD/f3B8d+/MvONth31vo
lh/aK/E/PvXzWNO9+v3jjNOFnn7x7fzZ34jt//bi05R4pChsWvm9EP/jKL6fMvzdkHsVHvnQ2EJ9
BtuX4IjG/XkNP1R4hOAMtP3mDAYbZPZq/E8VHsqb/n6UBMbw7QrYcK/CEwR1aGjYgK+TcFwnkv8b
ER5jKPT8qsFLBnYpKeGAFTCPQJHgoQZfgFznRljWJyitgWtySMhbOEpYSwaK9XFV9xIXgWlEO3eb
DBd54b9voY0HrbKyLtwVBn8yWw2dPT5e5dbYGnRM0ZdNLS9TXtaOA4UzsMS6oB5GCl6KgKQVlKWa
DkG8GbwkKBnGRb+1XV643um57cq2Pi3zCSJP36fSaSXr8oRFZjyqvKL3tybl0+lEo+jKkKY+Kj3+
wXNVvxmqXsSBP6pQMVOfmMKlm8KM3V6KzfBVwtO5DNKkA/qhiiGLtbS9Wg2kaYYwBw5QaUhcx4s5
69nOr3GUaahs9Kepn0QWQm87dNr2XQoSI4n9fFOOfb4Ze5vLkKkq3fIibsSZUm0P3mjy003jeeBr
eD21G/BFfae93MsDkDWywzqyw9rMVoAb8kr44pKaaAyKPurfgC5ZfmyHCV0MPCn7TdWaNkyc62Md
1xMeAxdPs3ZZYUPDmv5Da+n0LporwQMbA8/ejpUcMx1ZSCE1jfwOf4hy05wMDOUbh7ldUQQMlMd1
gzT4l5OhqlAdwml9w8rnJAGJJhvYlkdOvFNmGk9APoeQmBratOvEWT/XPTzqoUe6yX/b8GyFW68s
gJvmUcArNs66N+ADU2eMF7C+6IGlgl+rQr+jTNe8Lw6bKkrCMe47iDIQa0BRN8CyY9yDzoJbHyY6
rmsWIJcPX0WU+ruZIZDVGRzxuc6i1K78kk67Avr+8FrZgm26aqwvUWmTY1AD8w8V8EMd+T0agtqL
28O8T2I/xBaceTHZsMNJtLJJJUCiSXIEDw0aUb+K47xZT308rhJh1ZuRNSAaR7aDLITGkLNGo9AV
KbJLnhMGiVbS5V9841XbNjJ42xaiCGFvdvQJVoPtdWmQ+hwVPQLdxrV9tonbBl9FedptB6jvQHgF
KUqrMnKXkvY3/gDRr5/kHEbSQj0CVkC6rUByLoIpHnsFrEyik4Ln9ChLmPwIbcV407uER5q5GaGQ
9TjWDhceCV3UXIGGZc8a6c+f87aIwq6Jp3ddWheH0RzBEvQ8XxkQAWey6mvPvZmqsTxrmDEDSHDG
QJUFdLuAuUyGKImqax43rR48VW5Llcbv2yYvoDTURiCA0xoHDijMpm+LTVtJeA5FRDsgApn/FkJX
F0xQXFKg/FM8gGeJUAT6MKSlHWvrN7aI1NpxP78tUTZtGwWnZI9JA4LYOCldRu2N8VMakmkYAiZT
emhypYKK4t04TO9ZbllQZrEaQ9VjYbOwIQxwHHTdJHXHzwfnRTH8bMZ4B9W4/5N4B0dO3p2xvgx4
D+Pdv15QVMQUE6jW/j4sPtzI8a2gfTfge2ka+tphH5XvYx/OzNsf/fUjKMp9TBQIsf3xkrDjd1+1
/l6aRgdKMMyhWAxdWByG/QyKsBEV9pwgqFzv2xXhCIr/TVREEF0fBkU4lnS/H59BXIYYi0HK/DUo
RoMX90nJ2LYHcTUKsZmziySvoyNGaR+Qibn3CorN63rvjtAwRkcyh+xTOX+8ZqWsP1Ju3HuflO59
PEJgfDCT9xzrYeUcKvBL67APtw8GYgKHCuzL6g/K5qqTNkKDolvT02rHEjqeN35S7gtdHlRw0nza
qNoHBltXGb174OE5hFaFR34bWt4Wvw4tBbAlAWrK3Bf7Q/P21j349SjBIIF1abON4uhD0USQ5w5d
qk4zZSse8pqJEziAp4SS9cTF8UgVVKyNTT+Nczl/ER0oWGE9T+QozkEQzniXQ2nAdtnKNhV/KxJZ
TwGUn9g2Gor2BNWkXlO/BuUVVEMNRFqhgPaueJPgya8DgXoU+LJpJsh1hAi7bi4mLbvEazRp+QiB
iOOPsSxBk3cGKL6T1bFw9H/YO7PlunVkaT8RI0iC4y3XoNGyLVlq2zcIadvNeQA4Ak//f7Tcf2+r
z7Gj709f9IotL4kECBSqMrOS9kT32nxfUHieexN0VMKTSOpzrihRD6ksqoMoA/cfjtYO6H78ad6s
bg6BVWQNcTR0gFNbfnIA7pdM92K5NE4rDzXRNKvIYAy8xbpA00vIvqHoADj9zXzuqqQNM2dMvdtw
reQx0mb6R0IZPGal26xu5nrFtmQ8gOgyEbU5g9JGF1vqlweH0Dlm5JDqPp2d6qM7ApMcq1y5oCZu
dIRVdTV85UZCMwtdnhexJSYr2Ur3m0zyLZNKRU1mg2L65M19ceqmeJ2v0iRtKIL8brrfyjkpDp5Y
R5mVWIicW6+WyR6Ba8FhFw2ecwpyu6NT2gX0ycs9rEIfZpW2YJUD5f4lh5DvAMRG4Dph+DmuTHIq
wqj7UHd6O4+58jVhv7CUfMgrstzdvLNbQQ7qaQ0/mMZ3Lqyf5N9U4S/n2i3PpFPLkZ2agv/G7b31
zSI4oebq2lZJdUzCKX4u4mm4hDi2p7QZpktT6t6egYpysqvKN9FBLcE2HRbVjRfJBMwunWS7xrRD
PgmIwstkLSAZmzgsvgeru7z3wNDDrOzi9rsfBzsaZpXIVFjC86dQchzoiw1FFsWwX0f23kORO5W4
AxSAychQU0TrA6RSuQ2Zirt+OUghVX6oNtl5WTJM9beuKmSZZJOuLgAY1291vbQ7pVe0S5EN3bC4
70aV6vJ5KZsGqqhbAv/9OGp5bWcrrhpXVMvnaCvz9NaEfv+MSmCaYeDmTbMrlDP91cm5akD0JgXf
NfVBeZrAdpxTLxPzbjFeZ9CFxJN3mhfHlg9G9MZcGii9+eCQIIC+dLrNj3ou8mGnDnWTQXOFXZaa
sNOHfK3dS6vygqNg6m51sZbDUbmifx77eKfUTMNS39z+ytRjfe/FBM18Kxh/jXDnfWXn+M6fewXs
4KdcTe9jM4UMH7S03npS4SjHDER9/MdURlWQ6XLh7rc8tmSPiHLKfh2+jDLsv6yLn1IlhAscfbGy
kU+jO29ONrvb/OICAblwKDp071K5CgoRf+if9dik4XFwGnv+EcpTRo4wpJr901QlxNHamZa7rfTt
UzMKp+wP9SrQ7VxsEhDHHjkJPPMczrN2h+sEkJYPspA0YB0ZLw8qwCu7Lp+7HAZmzBwn7J5nM7Us
HVjcm17b6E6NHne89EvvnNd5QqITOJqMM/Gb96Yrlm2HqYC+R6/aPs5l7r8P+p6NVcqkea/DBqFI
l5NwHxG1LGT98eRn7gItcds6Oq4IiXZl7bZDcNV5XrKgDNHATlaEcj52o46/OksHDMvk1OmhySEh
jmRvxs3mwiQ6K1S8fuk9p78rIpO2xySq+kwi6rzK/c0/1evYv4ze9Ci2Nbpa0rQKL7wpXT/OpMfN
0YH6Wy6SIlEB9WHZLiDCKYqLsJJnbwYELMQi4Y4c090WEAqf/BraMYuLOfwrXLqIBBBg49yv9any
e8ceGi/cboOm6m9ksRSgGXYnIRQQ76aSITwlm/ZuhNNMV6nv25isWDqfas4Zy5BTcwxSuI/MU23s
H5BMoa2Ze5iLzExxZy66VRii3xJV+kgczw+oBYLzJgn4YyvGf/xf4vi3F/f80l/zL+X1ax5ILvW/
p41v2nT+jan4wd4P9CpsjCLyQCGopP6dIr4KG2lU2WXhNLQgU8T9nzTwX8kjDj6CNkoajH56MP+E
Uzy8zoVPEpp6uGunvBDgv8kcxa/Z0X5FD4VM5CE/IU/FN/XX7Kgh1em8tQ4BLuU0I0MYAmLMwR2W
0j6F4TzUz+zxcERnYkYTQOtuYbFB6Ur3Je900DmQulsdX6dFaOZjjeJKXa5p24zvmrAdHJP16L6G
l7CeKihvJ4qaShzyOA687/HWm/m+Kba4eU6ScJB/iVao6C6PSjWIrPXKkVsJYPJInzx3Wrtj3oS6
HrJ+Ddv21osBI9NT3raeufFRM1T/RKfT8zt/e6T/Qw6J+Ptv+WsQ4bHkBynmpXuXJdP1JruOvbac
i6hIvsu17yp1ObVBE1w2pHU6vrRjPoGsW9Co8p+NK0tfnn9/+R/58b9lp1x/t6QRWD1gfUIak77J
n20lEsrNqPxWeQghEUP0IhQU4qnvIAvU25rr6aiLKQ8KeG/HDsgkAmFGH32qjVZxPQHL7CqPXgnt
3WGWp/i339/kDrv97R5j/EEEfBj9DdRJ+7L8dR1tRelAeAnnW4S0w/WPuY3zWJ2bJJiEC647RdHX
GvpgQlP9/7fbn5/Nft0gDXCRD3kJE+Djm+tCOfVx74jkW25Yc1G2uEMzfi4C6Xd5tlblXL7vZDFN
U1YUBM/oD+XFr2gkpgAYCVNc4DAYhLTSxG/QyDxcSsfdCvHNiZtYIbZa3Sh8ZiM501Vvy7i5g5zr
vXeiVmZ+qEfXBbenv6FhUn4/Ef95J5iERpQ5IK17j+kbbXIRF2BmxtXfgmhly52NF1kPcY1e5zE4
lYkMoq96Pz9UNkZ0DX3tXbPo9LSUvTusf3gqv9ajTAtVL46YpP1Itf1QvHkqU1S6lak7+ZdMbRfq
i14NrTQnR7Zjai44qikyj78fv/cmknHN1KWa3jcqUnGRvJmAPLVVmA6T81KUOm6dyw1qiQ3Rbn0B
QDOvVWCDQ9lCQ8GKpL5gIkKQ0vmhHaLKHDrH091D2hat7o4q7LV/3y5lN778/jZ/rYUDgALh4nWI
Wc4OJGC6++s+mVewMhd69WXTk2YRuHPt8nzcbRWhk21aLM7D4Ndq3zTT2u8f5ZDPf3g+/zFZuC1j
uyioykEgAkLbr7eRKH+czBj1uzrGIYZXRC+7ZotxJxPeCBkS90eEuvVzW4UdEVUj1PTCy8SpnKXO
VEG03SO/KfitrrRo+oKtHvr2D2HFe7us6YSmZcrHUd3nCUfRm/NpA30f0s6Kl1H6kdOeqmkcmvkD
Up5y6A6rMoqbc+J24d96o9oeDWxtjfOwDoO8gjFqqvzQWuuam7ZQ3SSzDmJDAvKHrtPcR22aW/Qg
It0Iib5TUWZcuzbdce+6lKtSf9imHkjRL4ESuIdu/TRyaTeKeOHfm4jByuzU0i3D1zhEZhdC2OEl
rzIp0Z/rg2djh9AuzWv0bOaAf0OxRTgZPImkFQ3ZJCJ1nlfx5z0UvI3iGDiRjEDSeLRbsHffLAuE
FCMkZj98HTS7SJ0EaGrwzvcKYW7EOBumI5VLY5/aYjMmJu3WMKUHAv4a3efKSudSt0Fln7Qzj9Fd
UkZ7goD2pW3Si3oO98fTjyJlCZklDpf7QVe1fbJNVK915jbNfmiVzD4PqO9StC6ZgNSzTwkSYZ6d
CCvDx2hpiEiOQziK8YwIe3929ZaXJBjqx+XTJHeQtST9VvEnepIH7hwJ8p4bTEPY1s8bSlk1nNNF
e8tDIHo73WpdS50hEtAwSE4u2+0yDzhcv3RJh7x5AZxnkcVJTp5BZd6Tovw+NryNmsx+jKkJ3FMQ
R2CMb5aGkKbLvXRovlqvRe+TbaCRw5itfdU3V2JWK4Hi91d8G40AAwL6WDi3AciAKd9cEWpkLNZW
rF+EnffFuM7BHv78Ma45vKNFhdFXWQnLIkS+Oo35u5jAwjr9/W3srxT5ZVMIXrDox5wV6AGBL9+S
elYsMzL5qH1qg66dfsAlofO9V4UiGhX12HknLeO+/LCMSU7EGYqwz095MvlLn9HpsKJ+nfxc3TQy
iR42AcWF9HX1ouV+ShyEvCq0W3/DInKLrHIDWQ4QTZG3b/bCZR0i/SG7uJJVPe07f4EWfb+/EHIw
mai12JaL34/4bVwDlExc0g1GzWghn96cVnUki25VY/y4zJ1LEhtq7ZPELnZftwFJVnBZANSybLc6
hfDL8ulHZusgq9l3xVytvnyQyF65X1+Vlv6RcvDFHiKVHV3vrJplgE+0oanZdaCTe07tmaRldwK4
sI1+PyT/TWRLyIASjk2iGk+QNvA3oVqJrrV91fmPyVRAc56nId9vYIJ227fuj31M377h3mSx7Vuc
WLmHFD0oDhqn8EjjwbH2H/UKDOa5Sas4uCxXeF6VKbP20Z1UG98qC7EP0eRtNJ5rJ9biPMCNolMx
nBcM9w9De1MBMDR6yLDtYKu4YUC+9+txOaGYj5u5N48iX/ZINWnF0rKNLfu/Jjep/Y6ivFf2Kfa7
/Xxsnd7jgWxR2+TmZFsUUDmwjTOvj2SpmulY40qw+sRiiSYouFKWWLACBhLdZsLmZekPK2FtIiPh
guUkXf6LGstjKto8YCqmKS6c6RA2c8WWKBDh81+v87OHwv1dT7/LtN/s0YR0gewq9sOEspMuuDex
wlttEJlIOZ+WNoaHPL+mt36RbEt9oLIs8u5PYeHNcbRfks4+SBeOJWRnbwsvt+rJWoct/jTOHitk
MnjswlLbifkJqiHowxPUR48IFQDHMOHNIjtSFoIes7TqrZk+xNGYyOospyAhGLAhl3uNcQEnQOuw
8aet46D6+dhyRZPamm1N0rFX2EX748jrbX8QTlV6fKSmSpd7t2977iSsa84m+Nu9Tv39bNPy+GtM
ZPD7IUCQQOZAFvS2siEdHB3QZvOpKEyEvmqaQbUPcnVldRf5NtDmpAodDUkGepTCFWitSnXtNrMA
Cx7IdpwbnbdO8E62dO0d1Npv+V9u2biXq5yDiO6grm++BVVj9X3bRy2vWLZes74PFs/d7DGpuhQx
uyJ/HOfzuobgcVoVckMh0Lqtdwtn7KXIkTQUR7WB1YLAbomyVYYIALrhkG/1wmZYrF5Nk20OKufq
jFp4DuCjJxPs0gcPMgb9+Fp4kvxN5tPVVMRkZofYNqu1lLUsxeFqq42cMzUOVXRe0jhHEN06m/20
Rr1fPiENzeVRBBNKZEN92hv0d9OIrALEv6ZFoskvcVOejqpHwn0j0851L7zVK/xz7oxJ4Z4GxHTB
owmXvHYe097dtk8bFPD0zhmnzrnnxIjnb6GOIv1o4yXv+mxAg1CMH1P6N+sLWYJunG0fJG2fpXUv
/OIQA5uq5MVrq6T7VgDh0hXBUjHqezpP6+oe6oZ+z+pykp0KkyN1QAh3Ilunju5oRHXq+mKJBn9s
iu9FQpcjs7xB/+ngnRX9wpKmj2Ecio8icqfIPXVdMAwxXYyyLJqdWqtVfqqWfFoXhBQyL8uzDNp1
Du9l5wt1BUJd5MmZtRKJGkmYdTnWmzEp1zSjeyZSSDiktigz13x0ivJiLVtOm0OdrvRoHOmfmcPP
vTMDTF6xOFZHHlZB2uLdzQNZV5pNRiRb9L7x45gPxO/7D52ybPjAci/gcrYfA/ViZxo0l+sq0kPu
X3qb48TxwVRhPccXG5qEtoGYX/Zz0Q2dkuHkIuRQed6koVv8QINNGubvzTqsQ/yhkk61Nue4Fo4/
XNWzSZPlfVSJsEwzuLIdk4g1osj6Kc6ldOxNEDQjM+UYRch+R9RWRXjjCKnjBomRKr3mAxKDKpGn
tSIQ5Cda8QT3Tsjab8ksTgNh6uaFKdXRRROqk2M3ucDnn/3c77gejZZp+jjnsH4HTenNzNLaUHKC
HLyo2P8I90/KkimV7jl9UIyMHhbO60R0rop1nzHRTDUf6GIn56Fr4z3kBwu9pPEhXaeeBWA78o2L
CXEJ3xteh1pMoWX6VEUzKBLLdJRcrSk8iszOK/fH4w00oYT/8Jptn+cuSCuwJGd2NI/C6eqkCL4r
RUGjzrosybQOa4Jak6arpAhn+mtphFLzE8zYXHbMF4rM/qKYbeBt7xK6l7iVkic92IeIlcUVBP+k
XqSz7Qss0s7+5NHe8rMmbfepWRaPr3LEJmrlHhZ8Bhjjz/FoLYR6AXAr+Fm4DX30UIeBTMWBThIA
oGyIC4+5+Ll66ExM+ZNx5eyDk5P5MRkzq0Yffua4aWjD/b/EGNbvhFtq5+HnVDuvX//XJL9+D6TA
r9/F/kCH8MHrnGJ5qctoKPVF2QnDoJVvebN9lvsiL90HCvC8T7Pw9UH1dplYalTes85hOFIjw8yr
i8VE79N27pmlxW8bvuIPYGz6AMwhlzSrXbMnvTnNs/ywiXNXvaSvM9gP7CDi2uuYCr+kRjsMfRet
3qWBHeXX3NdH+7o8Ilk3zE8UlPzGKYybffBbZGiLPuee3i9TBDTzarStyo2LR+uUwTwhWSvEPr2v
C8nOBnXOiUHuf8Ur9cjv0aKP5CUbp2K/9dcJdWjx5T/6RvRBfHLcsKurK0sT/zZc5DuI5J7Wcu7Z
02mV78jHiLjtpVxiX714Ud6xfMaQjJXB64Vk9/0Ilr3/QX/ZP4IlT/hoOnffDq0N9/vv5igv1se5
gUgpz12e8HcLJbxcXNLFHnvTjXhdK2U1plN88XPK02rR3M5Wipo/wgnQc/FqKGvO+cVDyOo+krlV
CbQxZGVXHtwxl1w8rAreFHycUFtMVw2AAZANj6mYr+J+11IcZ85XflabmcbDc02yiGxapGOz9ZdT
0Ltte2jSAGl6JsecOt9LvZnvF5Ma+SBpDJu7Vs38v2lXcLvQXT2gIki3pLlb6kkCCqy64upekffL
U9TJjSpAGruvfWQX9EWfNwGP3aAfLJo5OTUtR2x72pxOpuNVmHJUbV/caKuINzkdSDVeAq9wcjU1
9BWd56Kh3v3LBCN+xJdDVTAdF+LHnlH0WzFho1xraZ9EkfTr9KgEBHV0Ob0OfUvzkSkSw2ZrRlTn
6xieIut6RDm0gPv0YZ6wrxrwqn2Jv+KnyQiD6WaowffxTmXp86FZ4HxflaCPtGo1FlwZw726SzMg
CxO178Tgab4RGW+vYZdwHllXryCL9VBfyfPcKS3pQ5fK8jfsK/QmKctBDRUaMCBK6dWUvkjv6r47
TA3ARHjT1tG+n6ZgLQHh8zqZCJUikoYzb6QrYG/RF9E+eXMpdqjAn5MaLL5qupxfh19mlF8QO2zS
uV7lqHV5B5W7g5SoAwg/cS1FNH0MgLEM7QCyckxxjla6Iccj0AWWGVkMCBR9DXKk5TCRnNU8fOsE
llFFXbsfGy2djcya9rXH4nudyWrqQaJF6ZZiuV5t2Mr4Y22RlT5okmlQBTvQ1feVeMv6ctbBMgNV
4O5jkANqVXWmvNxRqqYkXyWzTlu47K9RagrlvQS0QzV3UaQGI8+B34+T88+1hAKWJ040Aas+Ym6h
nEPSeLF+ApFc6+mTm6sqzw8yNKLY7teY3EZ9S5cSPh+SPAGauND1vLQ73W7H+skGsx/02czpgOJk
8ryenDKOw3T2ZlZ5W6X+YeGHTkxvEz17wXb8OZLXZ6kGunzCA2+gQ/lykj/CTdMse/xLTb5HE7L/
ffOWY7t/o/uB3iOT3H8Weq7DN2gr2L8oxRzyDSr3ndsoGzmwlXOyRXlnJ+MNdNGt8b4r03b/l59L
lpySSJSGkD1QAD8g+D2cOjkOCYam5cxDQJ98mAu68PtsRS/Kgzb0HPtXq+r2XZ47docDR3giPgLS
sukKBw/Wd0CPaHMHbrnfeV3CNH79eaFQpxxpiqXiPLxWbF1Z2bjOqm6Yg4/1a8BC6r//ZZV4Oxjt
NGoHIUcd6SA4tnmL+BVuPZqdh7kMB8Y8rbB4y3Xp53sah6CLa8RLs9/W/GPDOX3NOZLJcN43+eDv
NOOxW7d9TcbS+nWJGHXs2vZUVA27ET3lzkmAA+9Bj+aJPcUKRs+pbgqflqrkD8DXm4IeLIf4wAr2
CW6R9x+wcjHBIYBX+w8FAgXuOs7pZXrQa0+YVU6w76CG9h9mYSnVfu9/qO5+re32y0c7V8NbREOP
67/BWfW89c46xkBVr6GxAgPe5x9CpcFu8Hdl+xsAnd3kYmDJtYCs+P9oL+v/Jn9bE5qGJKnkv9aI
W299f1CDDIL39ADuqzulx5OPuax4wn1Ac2J4+Bkcf38vv0II2NCxfugBYPDQ4axz/9d7kYvwgW8r
mmVh1aKvJRJpQjTChlicaHr68zz/5wVxGwQ4iJLUB1xM32AWdaFdjw4Aea+2joMirznxr2JTs9R+
7uzfD/CHA9C/adB9hLtT+I/+CJ93Vr0FMremCvJuaqL7nxFjLewO2psIDWZ43oIxWc7VIK3+OK/C
VMd27vZ4LmiHf3BGG3Ae/eGOfl3p3BGl1P62JhGnSHxgB3+dc5O6WE4Yoe6b1021ktexx7e5lsT1
EiUQj6AIUMb7x1RwOJBaOMV+I9Ug1GwRoVHZn8NW9CEd7IQWcyDUK77O/pDeXWkE9eRhfeWzhtcw
+/tBvH2MPLjAFfSk8DYDdD9voSfOXTVhY7PcFWO9Ryb7IxEa8AOYP9K3Nwe8UPJ3e+Z/ul5Io5S7
/2+35/91zuKNbISXX813P4+9DQuRKnN7ImuP7qvM/ytoLXSB/PeX0LExcC8L/iMciFWCRC9ldfd6
LJEk708D7wf2RTeq/cD4/QD3+PK3ZcqCgH7a33SDZJmunbd45mrsVmob1pdx5+g6PMRtG4uvkWbD
/Hehjj/NBQSOWRHOrRSZb0NdK/3WzHmUX76mIksIOsI68lXLx+9H9VOK8beBgRVyqR/vWtyJeazK
f31yrgsvE5fFeKGt79KA7YfbrkaYeX/m3P9ztB0c+qEfc7BVOlElXhlRNoU5LXo3nNZIcHL6cgeQ
n1s/AHtwP7QScX5/acgNwv5O4izhbeYgfSinL6NSNL+edOUHnTq1zWz96eAibh2RnukQqI2+Wq8X
0Yf0lc+rI4oR8R6xoqc22ryLJUUyMy9R6YGJVEg1Lik04rI9Nk418Ch+Jiixw68VNKyu+1IgQ084
LKIfYey11KhpDYbyLFqf0E1puKcB6+I7JLQ9vVnNXefPfIEUK0LFKMZmT+ac19xmgBxlt7tD4uHf
U4843NgMsV3alcdoiJtqzv4FeSiOzSL7mcj8yKBg1lbm16pkP8RjtYAsUVvUkX8akp5LtjVVxXLt
wlaU+aHZWl6gituKaqrmUZD2puIuMhMqxKsqcmnzvg7HRYOzYqez12HpakahjkU9t8CuIDAxLMPu
zZTQdurMfb66baYE6iH/Q6rSgY6gXPGqGrpJDN4q/Sf4hp3RIgd0/eiun0ZIhE/lANqcHxEhISc4
F1p5XnVoPZLOfxpKzzG5DqNt9b+i3zNTcgdsJoePHXpBWnKrbnRoKBoIHCh0saiDSz91veHZHtfN
t9rQQg4ygXGBdb0wOZjAyPW2TscJ2wvo6LWkmk4TDS9aFviBBG4zrS+R29amOMqAhLvL2rhr9Wes
fRJnzpJXyu1nLFLw4Xl0m7TE7ercobdG//ozzwL43vNEg4sVH69Lo/mRDXZxU1Oy6RRFzJAt2o0Q
7+ox7/FI2/wag4K1dpYUvzPdJw9DlzrNucVEJsyKPF8fQlNiCWPKVV5g8iAuS1fYK9wflkuQjP4e
VbF/2NKwuItLfHPAjBf9SbKoL4M87FGBB37xQqtd8zl3S3xPUk9SizZiuqDYBVLyu/AmGdyvPQ5o
2OMM0W20i3PjoCh4uq6jz1W8BVi1lPN7WzWTeyIrn06JcQUa3zFq/6Jz5gGPwuFGB05+0y7jdApH
IGi0L/nl0s/psUjX5GM8FApefyi/laOSx6YY8gw1fXcMZaquE+u3ZyM7WOBuoBuJPNTQbV518Xnl
T14l1GMveuvnC3QP8ptK6wbvAa+xmUmr8FxUbv8w4LKHuwkQDRpa0eeP62aT5wYdMqX83H5aE788
uXSMXQduWpRZ7zjiNgCmQ08+4qeNyd1HwMMSvdIk0m8eVA/1jDd494tfFSVGAGiKvbGd7sclAHAg
FBxHs83XYtSmzsJ2TQ4ypiEg+VyiMjZXKBDmv0Y/qLwTLkATZU7ZFgapaph8T6aQDjBHOvq6TZEj
HAPcnz5i0lNTJ+EYEo4TXeUyKfpntxqH2y0O3Jsx8vYVKsOdQ8Ub53ojnX3nxvVyBfrtXJf4TO3u
YWXzzVtX0dFxnXgFZfPgfFkHtX6ny3A7+KVnn8exwgkllQPyQWtHVi5NKw3uLL2eabpY6+06mnOM
alxvKO+MFxOIKakOyyoacY1bazNc603psz/M/k24N3iB9D6Fq/nLnaW8Czy2zzLO0xFoEeuifKO1
7xianl73eOruhiLQX8yASUjlQm/nI538aCDqQ1zmyOKdWQTPMNN9Jvymu+gBCjLfbaePOD7WH8fC
TPWhnqb8UeFw+FlvA035apvxVvD2nv+K+4NxTcDc2HhbYQ/BlqwfUn8smkNnl+q5agebQfK0T7zz
W2XDsHgfU0iEKxwicNLQrrzGuCZ4HpNou63A+/EKA3DlonLC4ctRVKRzfhslTo9Xl1enz9ohqTkm
5GdVFlaj+hCtUX0m0EfRIS1tfDl5ffEBnQ7ajrXQj37f0QU3b95FNSzRMxZqjyt18qNVrU3wrdnN
uFSbfzdMyAV94vN8Ig00D5NOQyTwgYKxrfMpcwsE3VFKSx2ePLh9YJGWPqbdlL6IbRCfKi37l8Uu
9vvMAj8uce+/CxAWXLicFDi+qOmB/NLJwrVbbh091l+t23cXeEJJlFnAyXcFfiucZRsRya3KBDwo
rDGVgJg5DGNXXdThrB/Rdgnun+Z3z+3EucK44Au4nPqQdoW+9EyTPrSttjf5WKnTFhNyKYPb8q4L
3Olaz8H6oRul/qSTJPhL1AvBwVcGFbpp2TxgWu89ehZuNh2vV+W6iR7cJukuZNQGR8pjFJbAHumV
dbS8lbLQH2kMKR4ToJMvyiYT0u4CzyuU7u+s50xomKLy3KQyvIXh9sRhavEYSqzpBOtdd2ebO/2H
Ggj+Q771gzqgDHHPeq3Ul2GaA3w4QmtvdRrMNwiVatCBtv+UC4s7WZG3GCfFdXLpwfkdlsEG75Ml
FyDz2vnmSB8NGl0YgS3Tg2k3ct1jPANpJ7d1KJZ4woVN182UNekgb1dnyD+AsjR3eCp1T82kn/kd
ROZT6T1hYjAfqzmu7ra0Qn4ZDl55nfaD/3V25LwemmJ13yH1wSzKXxZ1QTMWlkpp4cU3gex1gsNN
26XXLW1UR3hcHFQW+O5jktoWC0Y7pUvWCtnd9Q58/41xVMxcR+466VuVLhA9Hhr69aoLVPtebIHz
MabZc8AujV5ZXD4GfV/l5dKeoHxNcdOWdY8pl8ac7gIzTc+5iJdxtPcmweOpuNhTD/eYqq1vMFtb
hn7N6+uampxOKi8mczmE7SyXd6AlFb50s5d/WmPbYznlNhEmWaTxx9UjRbyZKMSnp7Ck+tPEESwv
wojEKe+QFV0uUxRfh/7mdtUnK4z0l8xsCmOva59g514lAYzAhWrMbs2wjOGMt1Re0x3h502K1ynt
oQ1eXkG6PZQC1Uzm48j5sTeeYy9WCs3q4MbKd2/XtNqwFdLg+O/ihnB6RCBnabyy5XXlT+WBxsT6
enLMNlbvG+NgtyGY/s7d2iM4TVvvKq3BD9v30xRUyXQ0UYVPJgD72LMfEujNw+wZvz0FHg5St3UB
O5u1HTDvwU4bXiKiNRA/8VzVl10ZhP0phyh8V5fApMdqK7dLkQdecowSt4iBxCrtXdW5HqAj5xBT
DX+F/Y5oi7pzwnTDD6aSwZjR3ySA4sDsnrzB0d+wcK2OAgdO/6LvJZa7tEL6s38ghSucHle7XYq2
0qYR3WP41MckZnNiyuZAJJ34Qu86Je+5JAipJDoV2GhmYa48+tLqNvbi4jT4Wx9ijOMs0fwImdvK
y0olwXO+LF+tLfLHvBi+5ukQ0pmh1vZhRdtxkonUFy6Hh0uQiDT0V2xvGuM3d1qU83kpdHoY1IAZ
SYxMc8jaNmwfdNfgX6ij/8femS3JiaTb+lXOC1DmzHC5A4gx50mZusGUGphnHHCefn9Iqm6p+uxd
p2+PtVlZX1R1ZGZEgPMPa31L7SS+Yc5X/MmfxyQG6dmUrPGSJb5mwwjHSV+GuQtXHjbWnT+k5qOL
gKgPs4lZD9cDFwzkj2z+ojdtcd9iI8Ni5LrJ1QB061F20HoiiZs9PjE1BnaqVYt/qpq8A5bXlfui
w9VUF0KP/DFtLkVsa9dGsVgXo2Vp2SQDy2v4eE1oGDFhR9KVh3UxjHKHe7asQuFP3RC1utPcoB+c
kS72c7zzh1ksoPuSPLCcYWoxplUxGlIEkfI0OLy5SDHkflzjPvsSs/fuDjn7tbDnppx3qyr6G57y
PPwzpyjDLKe+4E+IH3jqZHvp+k4g6zZ9ybNE/8jkbdkj2vHhmvrV3m3d/E7LRQ/z0IHmWVfPZY4S
LKFx27tGnL81swG42Tab5s0UcX+WhhnjQMR95AUZw9Fz3Bq86UQw4c6WKaDZNW9hLsvzBLPmc5Ga
7g8EZYEd8WpicxvCc2pOJiPjF4bvRrGdabjrzFx0104cm9StHI7bRQhIstiaYVVX21N7MYb3ZsLR
FQElZBHKMLlxTvjYsHQNfbaM7JrWhmGhO+d6YJacIztHy3L7umwH4z1NU6CUWPU3ZmqJPzUo+LkB
4y+uiVS19qlypOGGY4qQs6fWKpJz1Tbjh5auDRpma5ri4w8Yo69583TUxgKaH17JY9bZxvOmG9jr
61TIXaY0wEn2kr/LCfgWJ5IGM03GqKGa2DavWN31F8hVernREYz+ahlk+14Y4wLhmTHjBFqzXD6P
o+Je4aakT5MtU8wvE1urCfr0NEV1PplnhtQJkqkMQtJxk41+tZCQxvvKTccLsLeeXpZyZAzLuNPs
SOsqNL9ineyXcSjLN7edlqAYzCEshdaJGzm7+iPbNc9HFUQN9xMuOFNUnTn9aqjHXZrmlHI+pScq
DvxkZjrrGpyjTYmnKmG3Ud9OOAxQpHARBVZapblVTPtkclilVEWQFxRpfbS1sZgpVZcZ1NRmHa+v
9SDr4tZo9HkI6SrigiPNdxqgwb0uE7zQmoBhZd060sTMWujg1T6VyEY3YicuUMxoLMyKRVwXaeM0
fkC3vWDiAyNZgaV1eeDaKkzZX3nlTqLmtlRYTyquiovyYsMUMIBowNq7cmI6ZO4WZN6+3Pey7bLX
JCks6FsztwprFNw4Zt3vpgWn87hPqNXqk0ylVn0bumGZwGihf6rqyO7YtT3GwmD3cmgRSo112Cto
1PldLlvgJC+WhlxKwk+Q7AAmZO68/a+V5kOo7tshr1Xot+liv9psmdLHH8Nard0WDvAUt9GoocdL
eyFZY1vdoxfYthXch6v7JQEYAhYPXfXK/dbp8IvfZDunWrqrPQZdGp1tnIMhNnuO4/FFpgwUvKuR
gnK5EbkvlBXIZJBdcVjZbvFt8ciDqvRugtGeKsCLo1T1xZS8vXWXNagshs2NZ1bxoznabeZEDkLV
zDwLKTvVoEPKRmoceoek23+nRhjI9JqwQIV0bSDmonRvfU5MBWB3GD3rkI1upVTLFHZikpoBm4Et
M1tRUi9WVkbtjOLGZ3ZQN97VSunnRbFWOoCDxyn2AUTqVudbkatW0zqw96teWk+WzxrqmnGzMArY
lpJ7J0JtUn0RdUGVhfo97YuocQY/DacencqyW42O5ePqSPVdZX+GmjHd2ahjj8yBs6tGYJ0vDEde
57pSVdSaFWKtyWcR3GrlY+4vs3vqKOHcnVm3ytot9VzUh34UqBgXr51rzDlT8aVdBaCauLfw0Do8
R2U4mqt6GDJtXigQtA14O9Ihxnlr24fescYqjCtvedfWeIGgpSdzpz94RQYDdSZ14HMPeqjfDTkQ
PVGv2kQ30ud6GlFO9MNRpnYxfUm0ZZu4UFEbdQCPMtnj05pibV9J3UOcY3R+HcQCu2pkgUg/6niC
38qptPQhcGMjaQIGiplNhwrd7aYipgB4s7Dl+Ir0AdnErm9R2QVoOgBe1lI30BUx3LpJ6Lxh63fU
4dcLC7dlN5uFG7mFU561ZGiQsksbcwXaurZCumEoOYRebfuspDSw+PgW+GLcJQFAiLYOqnfZ5YFk
YPa+Iljg2oj9e6mJhve5tntHb5c7xZeNdzT2/ChHW/FVQ7zE8DBvkyu488bwkeZyTu/dvOq3qss0
siMVjHPuLdfO3jkiTXUwJyt/aGYzvkYmmXxJep1P3pvXBblaLJmMrGu27NpMzM/eYss7zNYpbwEb
G9tht2oOM9c0ZoXC9h82eLkb+nkzn3SGFlk4o435MJsWPkK7GKwjKKEceWJvP3Zx0uCDr8Wr0w/6
znfRIaZ9uaLQH1a1w3KkbvBUGlloyGHC1FVCbNrAqf50SpweddpQr8hBk3iG9TL75SaNoBsO2tpV
xp4NEXtWYWIsDJPJnDh6oSAwhRlbF3mhmQywtJNaDdemBHycGPrkhcJOWnePEKJ9mhfs53s11rxL
1ADuRwv0WgLRMLVuOyCPYNtJyKp31NSgyZ0i9pGjFF2WhjzQc5RXjEvu1ooJwG512taJigmBXWiK
KovWbuE1iY2cDtlI1YaT2X6bB1DoRkwewzza6s3ltJguy1j3gGK7yYOI3I+SX2fbHQ1BxhSoMppr
s4yNi5eWhYtMKIbM0+uxfwGnb7yrEjTyorXDHVq9PEADZnzCFSNr9gyuryD6D5BR3dmCxipnlQ+7
soeZE8k080rO394sL7luQNwdndl+0eK0XW6YXBUmw4AGlEUJRO4t81E87CqEGDcNChMRubOtaAp8
A1dDFwsbuDFA/KfCXvo54LlJVUd9HqZm38H6ZTN1O5uYwZm7NPGNV1bma4fKItlNsnwzh6p57UdA
VcQEMXtEUYlQKpm45Mv+LdFmkVBbLVqgUXlc9xJ7z8Dc5WMNU+7U59zUUCwL93aUY3MebTzpdOTF
FXMB96jFwnthYpy5XAaJ894a0IYWSwwPU6+MUzE0I+T1yYN8oWpRIZ2pGfG4w+AdBzOtnXD1NSjW
VeYvBzBhU/mAWzYLe4ZbYc+lTraAacuI8kW/gORM0QbO+msaq+XVj0d91w6whxMWM1HllfE3ZMUi
tGxrfPYo9w+6FevvDQr0VwBfaoMV8MEh+X/Fc+NdLyz5Dy1u+t3iyU8IlMe7VgoFmH1shM59sN75
iYY7vNet6sDzoK9pMwYz9FzEKbz6au6M/kPOsCP0FhqVjqAUiKap3rxoXmk95qlpVYHFVP/UtrXO
KgylZWGan5Vk+t9HBSTjrn/nAQUQOWQHjovplY62qdqH3hoay74d87TjlB9IK0Wb1Hf4nxEJLCqv
OnYNLBybW0shpVGH2cCrAXCxEcuYnoRMq3w9IeRW43OcLTOO+9pqimPeeKBqg9iCPaiF3mRbc8/h
VaBmYaeFPgKcduaIEOGdvlI2EmqQBX3h9GI5SfD5CPAcY7H3llXP3kenrkcOla4tyqXkHLNTAXJh
qtEphJpykgRBi4XGCjkyZTyqKoUXmpsGGTucMII62uar6DTlDiELTYR60dDOqtgI01lSoBZqk3gT
kXMNdqxBkjxZRXc/md5IC5OZi9P30DzneMpDFrEefR+WoWwhHCBvBtmEw0xAjh6J1gRL8y6LddLV
jp/SZiqYG4uSbLeCB+umI0EEdu4HTKy3d2I5ifDLQ5osk9t9kFqyGtBCwPry39DCu85y0caBhvmS
qyEunWARvudO+79Zz/1uEGH5h4HaxyvLkhOZHsKH35dztaDnyJfW/yxyXCQ/t96GU9isn3oTmNpx
mr0J1JeorN5wd25fYkSCfSl4Co9mvbjP+fdF1//+d/2+7eXPIuPTwa4Kn4nlIbui3/+szFZYk5LM
/VI07eZtqn4IP6DPllyIWsO67G8Wlb/v5LffiI2bT2PzDrPy3VABv2oyGBp6o8Av8bX68RunH6oa
E0wJq/nBTS2JCG4S8OmDNMtZVv74Kn4GQ/20Tf8IN/oVT/kbvev/AXv5/x0GTBcCm8U/pAAbmvO3
lKr/Kj+9f/pnlvkGgPjxkj85YMC+UNRglkOGoHMPcwn/jKjyvD8ssJgmu3zjJ9HrT5QDsaWEldsu
+X5IcBxUNf/kgIk/DIz9JJshM7Dxbev/Ds3hr2t9fsqmP9Ex0WGY+ZcrOddbwxpMSzv6mgbQJcvV
epS+NTz98pn8vHh+5Xn9fsOQzsWvgaxPV8rFi+v9LzfMqrNqYpivHRGs6E84JyhhpPBuqxkX7t/c
KtuZ8MtCf/tduFEx+WPBRTywIdR+vVX4LlDpglY+Kh3etXD66ZqTheXPKpa71qmyv5NGmP8CU0MZ
t3EWbIHPCyC52I6xXxRTSzHYHUJFMr1UHzNm75rxioUUtE1ono1NsTH7LwI1jbEXkjKSFhHn/cFh
hlQfOjuRICQna97Q5TyQYdUc/WYDnSm/F+81wgtG14MPpzHxD/Pag/x0lBGg2q3PFDnVfVlgli0J
6njWR6c+Y1Ft9zjns5tYjdmNlWDIDs2kTg+qowTJkgEjEFD7ewMd6FcWvOtLWlj9i9sm10KqLJrd
sg4ky4PjapjFtWWh1QjS3JT3xiCrb6u5NrerOefPhoDoU4u43NtdCpgYBE4gm3o+iibGWbt2YJkn
gQIGK14E+Aty0GgOF1cfmxtaGKSxlAOfRJloRzLFGE/2GjlEEOqTnbX4scPjyGg+Dx7oDmetFlZd
ayp3opupoXvP2ovB6N+yQvPnIlzS3h1ogtSMWvjNhy2nhqu0bvO9W7v0anPMdQ6VGngBBX1Vv8ve
bd9yXBYfNnL2g88TLw1mMfhfcg/b0A55scva0lBNgfIhI7xo8qgUEXSl7wVwbztg01beipJRVoA6
oLlysSZdFBOLF0+tmEKheDLw3BaP+cqq0GLkdovQ9yFdiO2Il1w9pKhoo0EX/RsWOYKjFjHuvcnR
bLjwTvWlr6r0AFvts+rzNkyQKF4SCO60tKudVtHAh5PWcXndldX6AdSBdm9irb8SK3LY3bDoBdPa
SWhhkeXEiWkNuk8nAzyHcY4nZz1EpsqKK5En8ksyOON7oau8jNZkdepIGzP/zEcw4OpxPndjGcz6
3N/UpWAc40IFhYlE5W1BGhuXXVEkz/5APdnFbXnQWo8KhhkxhfRcI763BMi5DPRRO15yrbeYIo0J
sjDh5Z9QoMX8n92PZizNkBGVYtPmdA/xXBpXTjrc2cs8wxTzXItLm7tnoU6Gj2EhrdCnr0tFsoHd
a+M1psr1fQQRE/DN2u8te9lbGgtkZ+s4PnRYgAJ0Dg9IjLNI2uurJsm9MNbUiAy1Djeau67R7MM1
g90rg0T3p72qrPt6rj64ZtwYx4zZ9LRlp02p+lw7GSKIeJKUWY5EtFLulLfh1FcGC2GRVAWSdUOq
gsSFzlmvvLlUy6n0BdyRIGVtI3axRmH1UgwztgQETnKYEz6Ipgulmob8ieQuLxnLHcJob5qfXDWm
ka8PbsJCmlkMDDPkZTu7E87OHz0Q+/OEFuh10SxsWmgWDSa33jyIMCs15e2HnAQqC1PIiGa/mNfk
YSrszdDVkk9y43QstHYN0pf5LmHy65m71umG9OLH2sSyGLm+/Wa07APRtdUxvHHckr7xkiMKt/dM
Pm33i0umA6TxEcfRuVBAKPrHokK7RCNCmM+bZrfFoz9V2aEXNcdwU7n2cRJj+eLGJJOhkjYIVZil
Y54RYZHSMa8T3GCb/K6DPZpMdY24u9KXxT6CgBUuwwJF11mtvv5kpA2hAkO3/Ws3duJHpeT82THq
De+n1yAW6TtOTYmCZicJN0BEVVqndhD1mebAj8ZKQk4G9sikiSF2c+ksi22VO7n6XneGBnpyxtyy
Ja+jHsQWF6PIRtHi2P/I5rAKOvjAj+uA1XJn15qkGZ/m6n4xrfarRSV5xR+SQfdFkM5826/WEM8J
iTJE9zUntv7+LdF6zqeyovXHuTVheB7c6l6bCxfFAH4WMnEwDaV8GGP1jW1s+WKKcbkri9zBeLlW
zWNSpegrBhRpOocH2Enu2zL8/hz/TxX4N2GlQMp5pv/PVWD4tfw0f+q//soB+/Gan2WgS0EHdYji
h2KLes5BdP2zDOQ/uQhUWQqDVBBojv8B9DL9P9hr4m1CkGsDDtowT3x9W1CpSe2Ix9dGa2obiPcp
Uv8ExP9Wy//fkacQUv5aNEFKoUBF30616ou/6leLfEpzHfvPUeHseoXGXbe01yZ338K1FSxuX437
tlN3ZWOs25J+CihgfWoQ0e5zqDcbc2/VX+NMMsSrSYkDyiHmr8tI3KnHDw+8GNNomYx3tadtppzy
o6VhfDRlRmhYAnxbmQJl5OKzy+RDzIj6su3HHITX1bKM602Z2yN8DinWo9sRm8e0t+rPdE1FSGoJ
96PL6G7cNjuUav0FjU+O6xi1l7bY+QGwIbENJubnEylb8amhWHqo/cQ6I879mLud9pqVlfaUdLXD
8HWpD9I3kggeAccg1cAtM0KS6JbhfoLcSe4Pb5Lx7Q5D8L1lqGLv+0UaKttEBI2c+yCS4lvL3hYz
nc8kvxYr8rIWlC4T83bfrfz2dDLuHZAsu8wdr0EBmDtpGPeZ7j3xTLlm/lbv0qV+nLtVv1pm6pGy
AOJq8ATif6qrRlVXlte+xhUDplUfF07c5KPvsKDtGqIHTfO+UMXHzp7ynds0j0uurW8FxrewNdM0
LDxyJxn2TEGW1QGX4NNixhGZFKSSxc72J6AXtfnRiBvMg7u64tYsNDJdiOR7TAa/fIHERgrtYiK6
qUtc30lsMk3mZGQi0u1Swc5nbe+QTa7MFrTziEnpU2Pp/RNnKFk4GZulwGzLCH0bq6XZPsbe6oHO
Hrtb5iL9q1V4T86QNaioqHj1gZxLdFFutLq+fvQ7x0Oi4T2XawsIF+T+M2ud5GzhsncDN9mKWz+W
nzWB9ytAymXejxRiN1XWpUgujJR0W/J416iEbGpqOuKXHrJ6aDTmw1CO0Lq9mJrZJOQu5s6BHzll
YUq4IfvgpfMPfWe2xSlpdYRLmWKuhW4TA+rEAtvQF3lJ8OVhge81+9nF/XWxKkdAGB0npHfoKKos
ZyJt81k2ex3Wcc+sXonLrChSTk0ueKrb+ai+IQJctYPXI1P4pnx3vi4NUkmYNFpFVLqZSSxBmQRt
leuP/znof4E3/hbL/euhzXG7UUj+55P+w9dh/D8k4iZZnaHZ/ye+8ecr/zzv3T8QsDsbIUe3DZgU
/NA/237jD85sZgIOUtXfD3xLkFkuGPTQLDub5+WXA9/9gwgLh0MVuKBlbA+Qf+PAd7y/duQ8WJg7
8FhxdfAG/8LxSRTokDpP0tNQufLSsEAi99VohwtUDIugsRERbiHpVXBUsb9OUGqgeWEfrs9HNP8a
ehUCoZGg+v0jlGHiJszSf8m8kaHhpiVBsuI3l4Z8gb10KmSPC0T/0xATdrmXuYzXwNasmcLVs7H7
WXgnw8lXBRoIIEpdbJ1rD5n7rldJT8XqJc96PfjxbrL7OPCd/NWf5xeiE2JO63hQz+s4IZakwt5n
kyZC1EfyHlOcfh6brdIE2TFHIzvQKVi1uHuAGJNd8RIyIXqxraAb7T6L25xeB+jAsTe75nqdVc2u
2xQf1r6fLrkp1FPcKnOv+iG9A8frgLZClrfzCUXFN1A5WYiHsQQvBdt1l86qekxSPDwGgsYAqVsW
uqLTL4yXn5uisXeJN07XnqVo+MoxQGfQsGJq6ASGzBofC6x+d3Gjm/cxZcWyg4pr6XsOXd5x6Wkr
yb+xv2PmakVGOxH3pLoy5G8uQnNgvs3+t9qxXncZlpsfEKm2Rz1Lr1wL0ZMu09vEw1oeQhi3ytBF
/hRY9mwRyJCs1tWoYZ3eDbUzEmpBohqPmKM/1+OzBWaAQIVs1SNtMrDb5cpkVzTUNt+HLa9WzziO
uXjjdLNDyXuJinh8iWslzsCVn1XB5txXov6IJlGd9bR1d5Xy0tAuCA7WRzsEvZY8DFZtkouCgAkg
QNXdlHVa8VGXMEl2LdiR2wR51h24hjjUUnd6i7Hm3gNjyCM7QfWq1vbriJle7Wq1OlHcZcndOufD
efFRlaDwDCDiL1cAxGIUsA6xEbUW36PTfGW7yqNwdItT6jDHucwjvf09hrum+9QT7vlRzJ38luVo
bp2qtS+gyc3HwrHyEHaDvIK325GJOlV8ZDPwu2tpiI8kwsgbrTW0yJjFV1hVH915boaAJLHuNOVE
SJQZ+WeMPAiYqnpF6EWSyqcVpwJro7iMnC4uZbBWUlZHYcHc2hO0XpdY2Of5Y5qsjQh19rdtNGhI
LFja9joEdGVg1R+rCBzhJO6nZptGwK26QmoC2GUh1fR+ao272dbf1sF/E8Qk9cwao95lkXj0naz1
A4uIzf4wIZGlnDGcD3bsPSVx+xXhM21ajkAw6lFUH+1ymrzbtERSUvteRi6iYxwTzpwHfgIseXNI
b4Yuu1AAzyeE0NXAxbytchFRzMb14A9rcvDipU8QMLdvVaa18qEfgcUBG9vnmozvMM5uQ6SiRRlq
8gydnIXixT8oy0xPBVuN7t5AOlsdZazj//Wkyi+FKfIiyoa2hiQjGvt6sKlwXLNJTylZnFHXUk86
rqaFeut4H6y+YkE2rpdauNoxGYf0UHglwzzHYLwQK9RFQs17Ns+bKrwsXhd8wWGVd/PFy9y9VY+E
C8dKx30xWMWu6HP7Pm0qEu2dYto5OG0Cbyosgoaq7pwXJrJKKVFSW0MWTIj2r+fJnvkE8nV96kph
n+zR66+ZB2kvhOYSw3IBKJ2EwKDQu2dJ42HGNyusgReHXaAB6iBssMGcljVeI/zf7YXsteZaL9GH
7GxLW3ry/xB5hra0TfdUOJPHSdV39/hmzSfPhovvgAYKU1tHZKYIMDjEWtwACymL4o0cMclIzp0v
NvNV9KnTx7Ig3iSdZLrsKB9R1G910rJON+WaqG+ICyjyJtfdp3aCMcLNWglYfPgMRI3NnZv6BE06
G43bEPIUVwp1ZRP3V0jnPvJgcfbzWBJ4vHboAMsYNjYb93l2gqrKxs9GzdMmIs1nuEIT4u+nRH9M
XMc7AjMTlwwGXtDXXn4oXabL6dofh9YDC8ADNqpdxkM6yK2j0dfiJMA7gJQv0pMzW0sEVFJcnJFl
LYEdTExaYQDh1v3LUruEeBol6dyrCtwhcQ9z68PXRnr4TWZKNug8PIsNNmfvrLMxBsncnToUiysd
QQHoZTHver2Bg7wYJIBzi17jJcluMrEguCuJbVNr4Yc2NoezGrsYXHp3WSpk94Le4wt4UfBIVTtH
ObD8K6YhjIqklZ761X/3/LE6JXb/pfMTGclifq8qS0ZCV6DvJY8bvU9PHuado5xLM6xi72bS4wfs
I+YN+3+isORk37PCr4hbG24SlT9ITOL3c5rfMYrzzjEjN+7G8iZxq3W/OAXNCWB+7J3ONDh7ex36
EApCUgMukXicrEU9W4X6PsyZrQfEQIlDmAEYk2s1iKSJDJ6c/c7IFrPdjQLNY7qz5kbBGam9VUQp
KqX1scqEr72C0lpUmLkusUGIDYxATEVNqBRizbJExISxXx1bO3u0MRWRi/c9tmAoSgvUhY4Ou2H4
T9IjC9FNJF99Vd+TD4RcOyR1hpYS6tCvH8xWLh9Ihl3O7paeQCbrcOiUNhOpULmLE+iqwJMGdJKj
v6z5DKZ0xFpCHoNecWISj+18UltaAw08eeBos82dbZDm4K0yO0O/Gugm7Mh1/Zn4py39wZDaYRhJ
hBiU1+1nr9P35vfAiKrmeIXnygdEB7fsU5EkL1jCsDfl1YhuqBi2dC8T4tv3UAqx2hLko9TnHU83
LHCN1ZqXvqUTj0ajb/Vhh0jI99juTGJvDzzbdp5KPSK8XJnt1qJMz2rQ6yRcvWGSJ5EqeSHfVztp
3ZanIWKQs4zMLf8WrIYDZ3Ncu2xf2J2Ppttf0ZxDdWHi2Ym3AbiJHi65yO89evGH3M9n5DYOO/SG
lByS2GPm6J5wjuv3HJCuWCaQtooxM8tbokIAH/lhPBAfAgWLJJGSL/91NTNr7wz2AWACfWm2IrDb
eTXmmg7kKuGp5nRMUIORcZLBWzKhmWDBcHLcGJrblUHlGN7Jykg7wWSRB0krYgLfpUkcCrIzuuqh
GEWQ9eP4yuG9RiYf0qXxAVW4BYp218YyyDcKyr+ErLPsfGyv5HnJXDHIsBGrjQ5iTAux3G2NSlQP
nCKV0Win1609gwydyXmZJYkvIMEJf6mZ498P3yNhMCRvIdUElmFoNM8eW3oiOAn++kKiSfrRp+Z+
NraUmdhCLBJkGCOuBkFpFpJen/jXCEtNJGDu67gB/NWG8nc2qH+54f2RKYhTz2ybFMc8d97M1prm
YPBawI/orniWGP41iyj11cAhEIygqz5xnmZn0A96pDrLeYXGNqig6Cs33mvMJr1wFKsBWrLq95gG
zQeJWzWyHaR6jXKLqLAy/+AvlYyY4E6X1Z1m4k+T+YG1fI91Zl6gbzE2xzKbfkL7TvQzYZVEh2fN
6Oxave2jzphG0oiXjADdsYs0J3X2xiTcL0ZtLFfwIdcbr1vbx5Y4HHKx3Cb/1oz68OTXAregzjKJ
8XjunxuVxGd42mQHY+iB72V3F9Elzr25jjN7nrY5GYgpIm0zsOuu1UaqdnVqf+FENvERAWETKcPX
sqr3s9PahxxP3mkR1OKtX85PTV+ae0300Yh16jZLejiheTXdQOgwLhwSU8gNyM3iTvjtJk4+sKAZ
0c5di00gdyJl6UzWikl1DMIH7nUoCpc2o0aBP9BRQI3l57RwbOZdyL6jrJPOt2kkR8WpFjTabekv
1yTRLCZjBqv5z7r/R6v+N4NezqD/ddD7X0Aj6+HT8Gvn/+M1f+77/T/YOcPWJweFU4VR6j8af9/6
w9HhODsGskjbs32W8T9zv0znD0a5PnBdn0W8Zbq0639Oes0/BJNZm7Es+3N4qf9W7pftMUL4dT0O
ZZV/ICPQ98Mzsf/qrgf4aFitIa2TXXo4Bm0YCX1N5PYKYfVcJp19ZAMF3byZZ0XVMbhXdmGhavd0
fX5oGgn1Y2i1TyU31jUkNf9mhTTz5BCnx9HTOgQuDJZ7k5bTQP7ulD1Vg43nVU7ZqUoc/WPTxtCk
cjc/I4qIIIp376y68uOieX3GE2qmTh1ku34GjKcFWZzgE46XwnhkTlucEc/Vl9g1y4M0B2ZmY33d
UDFRo8borch7PuuEAp/qrIKRVWmOGRpa4p6BYVE0x+Vy27ReeWhLj0ihIdkmo85i3C+a9PEhF+Ja
VxnmM3g/025qzG5vkNR+0BsjedX9zL/RteJOX9Azx4b+hNC2CekfCbbs8DGwlW7Nb6ZSCEgr8pg8
faqNoK/6ES+/Tj5MDpqBOT9a0558xINdivbLPPNLzJ7JeJf1xG3KpnjurJzJwlJa+YFZSH7EBg6U
y5pxybhKD0bdkB8aL4uRI6bz/dhk62dfzeoVCbh5n2BAPmLo6m8ck0Qd2+HDAcCU7fHnyAuy9+69
MuUS4kRw9+1UTgdXL3gbybIwhKlL6HkzltTCkl8039xlva0C028vZCOcLBh8kYQGCl6uqcPBjq+r
oq1OmqedUI4WIcI9ttBT3x26brK/JQh4EVmPGeY2az7A0ItPBrT8O5DlK5mWWl6cU9RjWmSuubzg
HM1fEpX5b27nwCTOnBYPDdvYdpq7Jz+2suuVxcU1C00MAaxusw8gWoerXIry0aLmOaBpNPzdDLLz
aC8l6UDFNgVflZtdJ4m17pXr4oliN+0+gMjXkV2PnRdmgzlt7nFx5/dcK00yOnGQr1b5WUL1uInJ
HzlilzbpC9hsV62DW8Bzs9cO3OJNnbT2PcrL9bikCneANpkXY7Y3hFOT3AJrG57y1fQDKAblqdLk
qa3jzdlU296N0bXGW+3rznWXWMUJbmR7zPMS9XeF02c/W6l9W7bzxUiZzExN1x81MaKrTcZPqUSW
iAew0Bn+xO4nnKZf7W6hCVAt/kdV2aeGIdre9ejolFsbL6ZVfFaz2SaBlljGm+vVT81kri/D0Co0
47W4b1LHoapPQY0BksXrtCUm3KSTbuvBDNHrE0bX/M6ll0EeaJr+Z+SA6aGeeFGyZuWzl4kqmEyN
4FLSohmO8CXOpklorMSj5sGre2QUMOKSQJ+yGwv9idkcMUuzc26QqtZgbQLW18SIZ2Ve3DNYLR/s
uDw6ah7PTrzWJ1SiKBpbilHJYfnf7J3ZctxG1nVf5X8BOJCJMW8LhZpYnCRSJHWDkCgR8zzj6f8F
yu6W6G66/V07wnaEbZGoApBAnnP2XvupK1V8dECT7fDM1FunRYYQFFPygamu+X3Bg+IZaRJ5S4TN
HWtA+ghnYrp3ikq7rSTvXi6oA/csSjEUo4O/0YhvGzO7vqhReiSeUjurS/J90OJIRX+a4bC8HYJg
eNSIdYHMaojbRAcSWMCAbj3C7YarQh+aZ6Njj4jGYot9zdlj25n8IRO9RuSq4T52ZNBUm0pfshjB
6FzCDZvD66Ut073GoAvVz2w5XjNM9qrGBOwVkoPRF0uLBJyWgbtVargPlxm5VpYqZN0k4vKYa+Ns
g3tVvwirmjYJgzlfCO0xkWnjEmSHKjnOFCNzu0aK0bCXzLT4AT2DTtAaemvSZNmKJWn5NYNZdxGU
kbq1cC0c29aa8g3O4u427rQUBAY9MjT0X2wIC3tGFe6NDk+hYwph6FeDW+qM+vIlY0iV2T4ebfVJ
8da4WkAzPKDZic/5MnxWEJkPvBEXD8X4cNWGZsytNCbnNrHB582aOue92dx0SVBfJvTdPmlBnGEO
zCu/FG24EwrX0SKjyrfa2nhIx1we7I5v2QRuuaOLK7+TJ9NfjiR8fDGNen259Iv5GOVZfA/1d8g2
6DfUziAgfY8TCmfLHBJ3L4LoRtAp3WAoszZDWE8f9Z5TX0TWsp3njj7bJN0Ld1XLbqesjK4NJxm5
0YjhVZpp4cmntNzPodHvC6x3x1Qt1X3Wg8EQVeIDJV5u0sEw/WoYECLNbKdxZ2iFiYV02q2juysx
hPKkRJh+Rl6dMqyy3c0geN3GLPELUi2qA619oMpp3ain1KaxnBej/pjRCD3wZIqOQSe3s7Stm6VP
tOfKdPRTBdV+h3GzvRZxkR1pCMH/M8P2NptH9z4cXRLL9Fr/GJHzxuEcfJYzBt+dETnNVTPXXwvs
FM/60vP475tuQeY/meGetA2xXaAUbWSrXViFzuad7J6YfT1GEojLG1H0cBTyNNZv0QY2vPuTJLzr
LTYim6THs0w5pLrbOqyzQxmxpDdTtVZdtBQoKpzArV+gwabHIYskHahRO8f4h/Ff5zfDUKSHzuqf
MIEhGCtXL4aLBOtr2tlPWKm/6EH/4mTLE6kOHwqBrB+6aMXx6vzYYO/wwV/fyTqsTlXkOHdDlcpP
aTIWz0yQpwcy+p7QFtsat3o8k259qkK+RX+qaoq0bk+ONn78S7Za6P6xQkFj9mNZdibuLjrtE3N9
DBFT797UXT3bj60drJ0iwz1kw8iFQ0Aikekhi/SCUt8DSK2WfY4g/DKuaq18qniAsvdSw1YQ0bar
Ge/mJ1dLG0TdicRvbaQXIpyLU9/EzpM1W/Vn3QnC5CaYouzCoY/X3NGFi4J9RomPgAQDMAYvajcr
+UaKZqvdWzWNHXR5MNBRKmJ1P9YMFbeFps/7RpXFbrDbB/RG46aZwmwLiB/jS2g+oDIeD/SIgS7n
XX/Fn5x2CuSe19NKiBvzzPAchZ6uMeVIAQx8wuanHdiL3BdLlPn0h50TbxAoq1ocwgjJhBcWYr4i
wbq+ariaJ0o0hvnx+GVla54aZWub1tT6vSgm+vqkm9CPWGQPB9loLuL4mAY7EG1ApsugO8CJMb20
duN9i4LWmwPzNl+idpvUWnhcTIjhoD6CU5PL+NTpjJVpJOGAF9UZpRumdRBzn3vDzjyMSvM+rocY
M0+rfLgbRGrHWemPgVkxkomoabugwuXPZT70eiURNMp8T2qV/mL2eA+8Kq2o4RlzGeKb7RY0mlu9
L5z2uTedOrXugxr7ZOfFdRZDy/1niPu/DHEtSyGv+e8zXO8LwWpYXn8d4P74qd/LOIaivwmD+SiC
HEKIKb/+VcYJaf5m6pa+xgswsgC1/68yzpTUavDAXJBsZKlBaPt3GUdsn8EvpIGMMMiBr/d35rdv
MoGwUCI3loBLbceg8SbNdbz7k+KYFx18j76frmiCkcg14qoith18tpeSynuLgHQ+JRPPR1/X046t
kjncp2bLY7lVRf3w09n7D+pu8as74fXTmITM4VJAOLqK2X/9NMjpqlRF/cCWthBXYUpJuOmdEnP4
RMdCbYbR7J8cMtjjTZO7Xe0ByKRTBWzbMT1XOcU31XX6Nb8jwiSZZeKenowr9rNtBd8FrO/pR3vj
v2Y8yze69/X8maQlAHlEl4gi/Q2vz4yxuQOj7a6g2Yfh1obJfz+YrNId2zOeWsM8iYSmM+rBhecK
m7JUN/Y5ni4BXqDsvvH8bIXHqMragjVBcNPlEcJYp7FSMNdlEt2kPZQSzLItY19dfWqj+gJ+vzUx
ktLsy7iJhnz//nX482XAl4LqCuYu94bx+qV/uimcWcMMW2XtFaFV6lMZukiezJQ9Emm7/XRDaa0+
VoHIHt8/7BspAQ9GRAQAN0lAY0SIn+HXqw84ITSrNiyuaN2LK+jk/RUwOHjvQfTp/SOxfH7uXbwe
iQYJRhjXJt/CfXOfVfRFlxpOyxXoL/ML8RTUzEHnznJDO9HXa8DZHmN6l9GpYY35X900603xk7Ng
hS7ik7BwX+DJ4Onw5vCOY8RYcJDVr09uYs5660uarZ8BZH7rYyZlCKRz6fdjVr9W0aXzHTc6aQdq
Ns+TjZ/cQzUPKSaB1nZvNJVE7+zSf620odrqGggbzwLn1Bwsw176H6+D/3rTv7UprJ8fG5EUIBxp
QdFr+vVC6XZvkfgeaJeiD/IvtLvbcENLo2PzSd+iCE9jFKdfAaTD7VrqaGdjEIs99srOS4c2uvTm
KHRQFiTD97gxnG+Dxb7p9P4lhi/69izT/+ImooHGs5XV+ca/YTcUkg0os8vEhDmr6DiraNmv2RoK
9VnfAz+uGWkzre1JaIwolUSxxwdQ7ZlAk+pFZvCHiiTRaeNkY/gwJjn5zPRQNpVVV/cwl9xtAB0Z
nwI9K2JyDGy2QdIWV2OltZhyqSFCtN8MOReky54covwAmyf7IJPwhv2WMW2y3qmvuqC+69AhG1t7
kJzIeJY8G8x+WTb66CbnLLLcJ0Yn5imyXXFesNIp2s4Rjkhuupi2SYPRdpwZa4nR0rZLMj1Xbd19
7EEzr02kzkEEXPf0XaS8Q7Y2khriaIKJTZQGXxWbaXAYRa197nOYbFXF8Bf2eHUUtcq+xUNls+6N
PP0Yq2ByNgM+xBNKs95jp1jhDJXquh6hPuF/rHdCTGLwM7qGwJ9Ggie8QUaBn7dGA2FDXdMVCBEa
iLI78KqRowdA38Yn6mSPU65HF7JR1UcLusG+V4kmgTPnyxfXLhufbk2y7IbUDXcaBs0vYFrGF3Ca
leUBv9TpnoVyCHdTl1Cuj+Poz+HQu7umDKItZpH8UPBHmSCZDTL7ARrbJqFfqOGxH1F6l9ZEznqX
BZ6BADvfN3bqhyZo2tvRECa9HYaWtOXNutsZ3YjKdDKc6WxjRs8CgLp1l+cbyD6Ak75FQUSm8lM7
atNqRFcNj/LyWc550qGz6zum9fpVl3bwKQEd1MseFGcXwDSMkV0nMis/IhwwjkhiCODuuQYBcB9d
YcaP4GRtiyDgfYjfZax9xoih7jVZJ4LrCPk+lLp0dkYEpFOmurPddgZ31Ij6px29nnfhztaiJLim
bjTs0CMKmt21MNI23xVZ3KgNBk7s+/4E6QZNuqJjvZkDeOCASwM6oQTYjwyU6dniGQnYFeyoWfLF
cxeLJ2Yhafd5OaKuDPTdHLY3kBXgbJdh7L5o/eDE+lYvZQfI0e3dK4tZUXAqDKdzrMQrprZe5kOr
83QDfBRGDqj0dljqnUIXFO/mzM7ng962eeVZEjO557CpzvYNQSkaSi5TPmhVvgimo3aab/lb165B
7WiQ9bqieEjyXOVHg4z3zE+jzv6w9J0BqA0sg7iIxqjFouNEMur2QTNUxUdexsYJl6xMd33FJ/DL
Dk2Tj+JnoZ2SzNV4mTP8DHyNpdJA+RT9qTEsK9uiXw37rQNVt0KS27I/KcjRXb7jUFL0r/gA+RZx
XFQfhR6bzBtBMniAMGtjG5dxsF36IMVhPTaVIlNmTEzPAAS+IAlIFu0CjxRTriqARof2wal8QRBm
eYxiMYZ+qsyIiDr+3GbtM+O9qkMAydMYr7qHKdY+N3i/Z9ILWEfySiyYfOKNO5iacTdno+yv7ErR
jS7wSF9afcErKWTgxg8wJuZsEfAjiieoOkV0qgk9mXbtaC3xBRlj3Z2JWOuLNQXANVzBzUvYAcxU
v7WXmA8PjR22rEG4mofN2I8JuHnKxpGdRRImw0cswOPXqomMw+CMYeC7JPbC+0LsbeysrCTiqGgG
cQXHyDBv284Sd6KDVrMZKatdetmzQ29M5kl8aMBB0blHuiuvY81Rnwq9Xm/OJKnbvZO1+ICm2exc
D/cX1yYaCz5YiThJXPAGU59oVnJ35zwlm60r1FQeKdkCeZM0iN8+SLdQ5nEyk7G/7KZu3XzSr72x
GNtPfknzaDyW5YJkZZJ5t+z11Fm//PrRR55PfC4gBVemVfAt+pqW4yZKy3TxVDqwdKqMxsBtQf4P
AK6eXUHI/+OZKrsiuq6FOeObN6pI53Ljmekvcy2CQUEroQY5pSP89+cBOQBXncXk8Y14gADcWffJ
XZF/QiitTu5AmM6GCJ2U+2IO7S9jAU9mMzWYyIxu0tuLkG1uclFWsKA/urwt9m2hiysUIfWTCckW
SbYZxfJUuqHqiZeHCrBl7F4DygL2va8kp3XFwM3PaZZaN1PfggipEYinD6Odh+0B9Fb+QkTI+gyh
XEUrjdqbriJk03aHr1I9aHqQ7/KxCmuQazzm5maMPjDYbS/gGyUW2pZGkl2QWSavo0iqT02iDaGf
yYJlgi7TUEezKEX9PeeBPJ9cwS3lQ03kHkksYD2ILpbB5yUz1hei6SXabJV1A29aAxGB09TJ50aB
pNVmtumnRXWN+IbGZW4JBhfOAIFR8qumXKxgzRHC9LHistD0w/xPFNcwdJfT7ACmGfARuk57MHMM
8odlXIG5sM3ahdERku3Lwp7Ms9YBf/GjusiHi5AsqchzrTaP7tiJtN90WMhQc524HTZp1K4aiHFw
a94Cc/2RKZuIH0VJ32zYoCBN5/uqMzTFL6PHTpcY5sJJC6rxaxQyUSC/p7WZD0DovqVrEyz7pq/b
2I9RlsAXkl1i3Ex0eKyr3K5W6Fs16PalKSJotjO7m9YfYdTRjHcLZnRAK3KeHW2b+Yj3p2Y7ZNiJ
9gszdT6qOYXOdg4A2nj0Nez6AQyHuEuihnuNN536xL2etzeFKkiK7mWlSDDJI2B5U/8k6b25Aifg
4NxbUOHG7Qgn2wTbmbnDhxpRB3SrkDvaZ8rN1aRwmKdzbHQpzsmmiowbCIeZfSQvDnZRPE1aeJk2
WjVu8xZUFL39vO8uM0Z9lJFkwuzayMV0MTKSPyJWYN3Ptu3ECIIj5/J1V/qP7+kvxuGQBJlfv9NJ
gWvZfPlW/jwO//Ezf/RRdFoiqN+xqxuUTHKtmX7XwQtd/YbryMR8DUmBbiiFwO/jcFPQR5HG2uSg
BvjhifpjHG7/Rl2AfB4VtWU4/JK/00d5DU39uaQjAR2tvaKW5HAYtNZi5KeSWaffqpPppl2ArKkT
xVhBuXP/2AzKLJpToucObeqUsXyU7BkwYZ49GzwBYYbnzAecbmOVs1nhOwGelBqXhUaNjIEJEFOo
J/CPcA22+z5NuilAThpbcXy2wnGgUb3wX4P+QKIQx7qHmYXRJ9yEfd5P0VkMOfgb6LCuo20ipkAe
KEla3icY9rwcUmPM4hkuTjDoT7Jo1uxjuwNo+ZEkV7zxvmuGo4MCa+ojdR3HHWIlxTLc5C6Ed48d
ApDlrG+IjsUvjY2UwMOSXeU//cf/SUQiDe7095bN1ffx/11+BxH6y8L5/cf+tXIQfuisDoNKDtjI
T0KSHyuHlEbzRxrNmgj+h5DE4YeMVSgi6co4UGT+3YEUvxmSaTKdZih5co2k/RsOEuttBw1wnomp
CQkJWBZFMs6vK6dOTEK8CLY+N5KpxhcG8BZTMiDZRNPjACFdyxhXmT9Ss7LNtWNJH8oiOclyikPJ
tH3PDnD+1rDnZiyjUw1ihx8WhLa2871uMmcb079rlvpQdKENsZ1h/jibRJ5AyO1XrpOUvGczh80u
+sEQJJFPVZdwv+ux1jlo3vuBlVD9WBdQCVkk9jh0+lP2Y/UspsZrnW4ScM8TfOjRm9bVJn9feitT
iZVoD4R+ux8jCbZ3hJPLDEsi+TS7ZZWzVXl712K1Eb6bmEamP8S10y1M/qrBJRK8BVWMHlnEae8j
NXuOtLbZOXU131jgwR1vmQFy+q49a8vnCt15/M9r639agKhoeZC/99oqiu/PXfzcd7+8uV5/7Pf1
5whsuWypMGEBteTFxYr+w7FrYO6ibazTxzfFDzPvH28uXncWLXDXRsT1Q631h5ALcxcaLny+VJMA
V/7mBMB8Rf789Ooy6bjSbdUlyBEEqHRFf12AFNNozcp4OJRkwG9lBPcxWgqFgaV7nO30q6ujb6qI
qfdp/ioPo3i7maY5ZV+dVp7euXfu4KYnjZjQy6nPzoO7opI1myZ+Y2wAn1JYJ7SssHlOjFXRPJtG
rm8Zlxq8kmq1q5SG8srulUdL+rbiXbSFMgZD1nRTX9TwIUOc8yutfvASLPg4hmt9m6Tt45ApJsBx
yVa1lKAxk6+2VunbjGxu8KUMRMvBaY7V0DwKN6q8xRoM0N6W5hND9wlc2weSsL8ODYe3reoxK5n2
hB1ICYJcPHrjtyICfyELvo9dTbDJm/rRFgkBsyvQY9T4egVlJqIc3LCD5hybxj3i2u3oXHBqBjop
CFyJc07SF5lq08a2OZUlAvqtXvNLs4FTYAK84CtwGnT3mMdtu6UBkWwQquLnqEzEHhCJN30ky0Ni
wmMpSZfc2rXN/03N29HtO3/9ycRkxBArSKeLXJU0M6egIufCtzqx3IZldqvmjM5cyyFpZFj4L2o+
/mhIv6/5QAb2kq2+hPcEVSE6cVZ9SFm8zEVN9WY0QK0DLGFjOtNQUln4HGSa4DyoO6UjJnp17rY6
MMWVlrajvMYWqw/o1hLV3kGkTiHPIIcC17nswHAuh9Hl7BnUI2zunSPGv7vXmySuZ4RGZt1uK4f7
gD7CbT7gBWp0dUdRMNAo4R+olW+HmA8VJql5RCrEhisBX1mGObp71Ul/oHbZ6h1/VlfOVdyKlATm
VvpY1BLPDmy6adRwmz6jnYQ//Ir7+WVSsASl5KNnY/wV2hHXfuHfksCaEE5oxXbsXKCcQ8nP5Jyl
VqCKkk61XJK5obymbR5fr3ceQmIc0MV43cj3DSNuGZwtXPqaDVtvu9lJF+ELi5y7mu0Y5Th3p+tw
q5TrWgjrbr7PIv7VdqHBCj4IKw81RZXGVz2nC8fK3UwDyx9r1onjjMFphO1wGaFJ8pTTPjoQ0T3b
4QrjyEg2Lqvx9WQUFYti1PijVZp/JUpR+gG1+imT5GKaATdtlrbBaUZN9gFKY+URBQ/+HegSfdGq
IoxRSr9J8Yrljckp1Qc+Qxi1F26rTfuQcdLZqIOYfsMi/ZSsBQ+tGCEDScGwveQug15BO6pIL13J
QgU/SWTEwCgfUULm47N6wSkX3w6RdfW6vAxcTAedHE5QiBlJ1aXLtLxfHRg5l9vE/HMKI73YT4gY
fLjTLMOUqc3rtdVyvr4WFLx6sfWHglugwLZGc5hz83qXE0a47MqqUXt0Q6lPQ0vtbCPKtqBgK+/1
BljvcJb4bWwu+NNnHmNqYH2bi1oOr5e563EPdA23EeLSzh8SEXypYks7WBFfdaFDQ4qE0A4kBfP0
gnKKcoNLINIXBHAG2jhWj66xmnOjU54sRHDSm7440yydrqzJ2rtj8lXDGw6YAIRBkMrVsc2K6Bcd
e5nFOi0XS5xnuoE7NjpglHKjOGvAiL2l4PGF1wMlMg8Hun0Uw+ZeRRm5ONrELxPj4IHtsj0H78yW
RnW7qWXbHEcbSAEdTHc7xbkOhMkyiGYMeSjiriT4nkunOanaB728jQzl7hdRzHt6D2QvmcPgAXEi
L37gI4z96hpxqvJAycA/HKCVr88mqSb2P+uipdc8ICaEmSC66MZquCUay7yV80q2CjR3YzH65bUz
cjPVU8VIgJiFtIRPScsbqINtTle9k75QR3FqZlbA67lmr5lu05xf2QuuK96I1Denrt1qrsUjcFVY
OZkW3Ej0PFs4yhnWwfqldvjPeZ/4LPoKSz7PE1PL4p1ommeXdBy/0JhslLXzKS/p2qRadKON/ZVT
dgn7VDc8zfEEP0bL2kxA88GIJNMRAk0xaYBUlmz5DIyZwF2bHYHtY3jGgrMsTfJVJuWEgTBR0KB0
eWeFkOZbF1zDJY30HieFziU0dFrmGxwbmLJWDOQmKuPuJgpNG1oY6hO0uA147MSb8aH4E9iv1kcv
V2EkqWvtVAX9F3jQ5Te4Zs9mrJf9JjSm9MWtDW1hCqMBC/V4/I8HOK/ljmbbpKpNA5bXw9vEmk/M
QduGvIq2aBaCSzWWi7bLjGJsrxgPu86R5mibH7p56bTHmfwgLwJTlp2DSBkYjhpssl49p3V8ZQ22
xKsLzUb7UBBWe4oc++6nrdh/UBO8mf+t+xoT8zuARUdnQP828jFTpLeS8NsfnHhGhrREL3HKy8Uo
3Lu+KXFVUYV7Zsyd/v5xKZp+nu7+OC7hEfRCXd0x9Df7KUa0clZd1R/E+PqwYw0acfqtGLUUSVr6
8v7R3gzNfxyNaSxmAKFgY745GqUT9N2l6A/ZzA2y7gRUihI6RHn743v907v6i94VBbD7rgzosiy6
L8WXnyuA33/mXyW4+ZvO7p/uFJt9hmaMov9oXgl7BfpQAtgrr8GUVAd/lAC0tRB0sCOHumCZ9k8i
INP8zcAdgsVa6hb8RqRDf6MEN1cG0c+3LN0znaYafxn4POBEm7+WABUJqDII5ujaqYh/R9Gba7z1
I0locW2n88EpU6PY9aQIrZNuo7oMZaZ5WRxG33izLCUhtrlkB6NH9XSMlhrtNYYP+3lppPLzIsbQ
aubVfC7rtMke4sWsz2W76N8SI5zURgA9A8ZnCQcftAaYbR9rdnnvdJ0jjy1hO8NpMuJmvGywhfhR
l07FhjgTvI2UJ5eVUKaHEIEW2qyd9X6u6Ooy1/REUiwIsufmMzV+40sZZUdzmPQZqbArvqPo65lu
kgOzUyhM2AiNhRWt5rv4MhsghvdM5w9a0zfHoczpwcHtmm6HWtvLpJfYjdXDWIC0iSh88IiE5fqp
5iV5mKyWzUNvVFswv+cITENzSHCpCngxqSAroi+zBPeGYzRWh6yVDbUss6ZdiRLpIjZcec4yCllx
EwN+X5l/TFLZh9kXq1PtmTMyX7B/SciLguW9HDsQx5p54TThlK7o+U1ljjYx940LkdeXkxwvS7os
sZnhAJtx9RQ7e3HzATk+WurOOMAkjMoaxl5aDb1zsYCPbFBUi1YIOdH0T/skwrYeMlobjiIn3GS4
yMj4iQE7TDR1XAg2LoiIaltJy3waDCk+tETD3WQ1uRzfVOFUyYtKRPvCMFmOsPKK1srFRwf7/M7u
Ygc1KRh057EaCTzZ1AQunglASk920VernzPFZjkTfXSMTVUgzc7SWyQEGATivGEAl47XLcUNZJGY
gX42YURBSIZDQQpxctGiI8TQl91Cpsk+RWkt4mr60Nk9QHhQHnIbqwboZFZ34clFigD0AnUNM1no
9QcdJX7nZ8YMA2/Smx0bv/ZLKavsWXa1MHaKlpK1IcwcaJQbEHwRdslaF+I8PbVIBbA4hNkpAdQj
DmbRfyasA1viQpfrRuMMWqvJNvwcNsTbhYnJ2GuytD3z+WLrcLjLzDbQWCxiui0wJ+6jEbP8tSkC
gBe1C1UrlXp6IUXI+G2U7bB116SMgSCOq5i4Y7mZuswkpS1ZTgSA6FSi+kqsi77wGZm46LnY9Vl4
BRyxB39l2mfdoXqIpjT4HDVsKEs09vsqQWae1ikKYeFU90m7XFmFY92ud/Z1IHjRMHosAEyIyyUh
PAl8XOe5RmXt3LiSDWeg0l9KMevXJaK2R5jRywUA7vFcDml2aDP0JXNsh/skGVCmxC07nJqWnBzT
dl/ZaM1CE44lr3p5dlPnE/Gq14WRwNTTAvsMs8E6V3GtYXlpxwerLkf8k+k0nqfYkE+0v3Ek9fNS
ooPIdOMD79HeF0VrvGiOC0uh42zsUizlxx6fJFGy1HFxwKZA6+dabdLBNj/CL5siT1L4PZvuHN5Z
RC0TrpQ21tcuLzEcqLbld1TYl9xMegapFJu6H7LjqNvlKZ0Avbuo1X3o2tPOKEL3MFk2qTIVO2zK
wSnZdVbIPtnp8TgJBJB38MdSL+P83CG1vOW2Lj+4cj6rMdIILgjUAWVPxRjXqJ2TS/9CbRT10bfJ
LqIblbnxYQjK4hs1hIK0M0tirXJ0qKQcmeDjdXEM7OQD1lv3SDEybVPu7o9CK6t8I8ZZHvCcB2D/
l3tXTwRaEitEIeOwawNhz5O9143PdCHGTR712nYaBeCSSbetJ8sd1dYQ1fKhnNj7m04zPjC0xMxv
JOWlzDCcM8qcnqk9Bqb1RkcNNGoehtrFLzOicydYvI/AN/PrRcTqepjc5WYuLNhWK/BNNk0FJHTU
PzqiWVKvrZu03pVk6vot0dJfIJFBD5j68kNC6ktH6RkZ0GZ7bWMiUHghwkc/FEPhPBmyW9BJcWv5
C48cL+rmge1vSPxbUfLkd8dG2zhAuC4lsxSPFWnszFDI+5Cc1wt3tKJTiZfgpkbxvu0ogjmzKpq/
Q+3tPlp4PciUkMiOWh1i5yYSbY71sLY3QgzySEzr3HukyHwHQWEwO0XXalhkJ0xJlXgaDpPzUpTj
LcwJH+inuqwHacWMV+IoOBq2ll5Guqi3QjKlztpB3iVtVl06lTt/1EcBuQWjs/pARFt3GNxuOpZT
EJukIpmjN0Sxfo26JX3IVVk/0KVoboo+Cz5VEGYv+qmekEO4y71ozNlHZpDs52aYfeC/9Ua3izba
mnxbKH6d1LtjkS0DJRIBe6ap4yKLzbbYarFV0EyjNKrBxNzUiP4N33GD8sT+18SPnY7zhQXpP8Um
L6TvlqbBeezGR6Ag0MqGyN4Dxx8i+CbBchKxsJ8lv5+0rqCIb8KOMbud6OphXqwWjs3Ci94tdHJB
2rCNd1hxbErnqroLnKEJN5qFkAvjE5lmW3ecziRqNru2MvvCe92G/7M5/ovN8eoBfndEtWOwG3/7
ZXP8+8/8vjl29d/4FezuEMGb6/T235Nd1wFjhr1oHdQyq3p1M/8xn2Kyy056JY7pTEoo9f41n0JW
DymNXQf0B5q01Pl/Z3P8topUNvNcgwkV8zMbphpf9ufBbogqYHGrsj9IIhI72mMKHRyhwups9obi
mW01xRlIalxsVUTD5G9Vd2ic1hkAU0CduRMOgjdjZcLHFrKkp24/9nLwnTm3fRHLDCtmnB/+D4eC
kgYZzoS29Da/nP3AIERudXvQiuRkSyggAJcqH/ly/X/4VpxKZazoOAYcawX907Cc3UwKLsPE+jRN
MUrKpd6CzEi9bnL64/vfapUi/zTceD2BBt/J1HmGUt28OYHYBvo0sziBKoZyNswSeRX8g2mwt2ER
JJ5TQtpcYb0eSvDyx0Phvwql17LpzwenT7jexZR9b75nhwc2MKquI8nB5OmfTJFfCGqf97/imw4A
X9GS3JcIEAAFkCPx5igthOV2qIMep5Vpw1Jjc00tNNXO4CdVjvL4/cO9MQe8Hg5DCvUssye8K+uX
/uniWbyOjEh0/Z42HlHRafOdKvXFDUs2D1l+YROetXn/iH8+jZaUEmUHEypTYM3+9Yjs75PRNci+
xiQKqAOtFhdLlf77R1lP068Xi6MgViZeRKdVaKyn+afvhcuKaOU67fdGPMwbQ9PO9FCuZyGZ7+gA
ZN4/2n86iz8f7c1FY0xPuLSV9XuA3GITwMUOB5g8VZLiv1GKZlmafn3/kPJNlf965dCpoATAksIN
+eZRNgMBcceRZSci27xm0J59CgmrPpIAiOmsDKkA6g/OMLtenZntN7vT3ROhiIc+bMr90KvB76kl
N83oVM/TZGjH2TbVRgJX+cimZkPiI0V3Wi9/8WAS/+H6G7pJGgIzT0f+6Y5zW+YKZccyikcCfjbm
CrNmAmkNPgnmYG9bksIrtxy3BmfPl/hJP+uLM9H3dasrxugGoJ4Q5pBrhH+xFt6KF9ZTaug8n9cV
bvH3m8WQKOh/aJ87bAURaVmRtcWPQ9Soa3d+W4ftPUUIw/7RJl+5xDt5moqkOaOlHlIgwOBrByI0
8VMR+Uiq04a9c7ANChhjdAXmi7CXzZW0F+240ETeYhYF4OBYMHIZS3zqUfV+6ohd9RQCYa8xNWdn
EKm2GYzG9ftyOnVp0zKmBPvXBZYCBWFdRGZ6j7qOfq05G3Q/lnTXgE5m4tFdl8pZDnUMEms2adNP
QRacYTjpD1pTD/ukgKMRWPNLOhsfOpfwSoWH/9DZUXfNby5279+tf14gNL3YGLDqye4BdfPrcpxa
RhvWuF50qH8aRRo+IP0o4umuX4IKGlku/vaS5IhIRmn8WAS5qTdHVM00AKFKu30TBMTFmX4mwmdV
mOfGQACPtPPx/W/45+e2C8/OdZCmqVWf/uax1oZqKLg23T6ZCf6VgzkeQ3LvfFc28/b9Q/15BcHd
k7bECK9Q9bxltYS9NSQjbrO9cgfrotRqcSzhSP3FCfyPR6FPyTYFMTjn8NdLliOAy7uRE6gRcgUl
0FHaAQG6e/P+l3nrWWTR8W3AxLjsFoncs94cJ0XMLtCpUy5OotzibUh29pRjvmuBO0JxddhScOPT
m8eo4j6gFd6XZhr/1WPJ+NMLAzcnTVPLFRYQCfPN9avr/8/emWzHjWxZ9l9qjlxozNAMauK9O0k5
6aTYTbCohugBAwz91+cGIzNLwdAKrapxzZ7iSXQ6GrNr956zT0WKee/pvYARwiQ2yHeo9dudGNrE
Z3o4iyMuY1CYZvUzrwbvkrXpsI+k2d8U80w0QVaFf7gD9m9/J+RawNedgJr107ZCo8QgGM/ReyLn
yqPZyG1gdiizAZR8CSFerGOvUy85cnXaXcZ07pb8LpeBE6FpZcXIL/+ZW2P/JfPHzTwPr9j+7XWd
tOp+KkG8qTaRB8k5+VROhLKbND7//d7+/gsESAvhhmGa/ehU/7ILh1YTQHIduKjxdImI39h1g4i+
xqxia1V7KUg3y1wXntuyYzXFCfPDG9jMB924wbFTYYj4qumXw2twV81e9eCTTDPLsDw5Pv0sNOUT
XdjUYK9o8x3mEfWHb2Att/3vdQSPxS/f4NPTCW6SX7ia4NAbaXQK56A8tXIsN6kBTjhpWOQ7hJ1p
ah6dirE6h9E/BRc5v30KGAXR11/ke59fd39iLcHVppcU65Z8XiJmvlFW3Xqc0FcEh/yo8n588mwr
/o6/su36aJ0iq6MPFKNbiPTONgmqaFzhkXxsDcXKszu1jvnAPQx8QrTTyPo5lZbFUukBY8m20kxx
VRnBk/LT5mD10rw2pJUf5qp6Q8dx7058UERY+1phnpJ/uOb/LN0WoLVFkAHh9uaHZvLX0k3avkfQ
LgtCneZPZbj3+jTfGDPoGUbjzh/qxN8s2y7bPidP4fGDF8r3rx+mczqsDYvOXkXle4A5lV0biYXA
F/SHT1p+0qcniU9arMUCjzHA7r9/EilNHV1xyZPURA+Z5URPaT4v4tuJ04ScMiT6pmsA1XStP0VR
/Wb3RRVq4wrHFL4I0f7+0W0E3StMTSTH3vSCM/Z29OqLKcL33Gu/ceR1/7BBfdSe//iuEjm2Ra6g
hGv+9w8MekOPScIjyzG8vHQOdc8UOpupJCDC6eefOEIeqiQfN9GkKG4EAoheRw0oq/kPa+hvHybk
5OwsiKD/IYdLuraXcc/7O/hVuzGVBycbSx9EyCpayzh9//cV7zebJsM3dIEBbDai2j7dZDdISfjp
Rm7y1KCgUVa4njs//sMZ8bfX16KTwZPE5f3HhC/VVlRZQuk9Z+QGgPAYg+4iptENgW4NuDPXEQ4k
oiZrghTCqIAZbeX4AI2rmRnTH97Xfx7KsV1zKuRQDsdAfp7MDxOhSbGmu+8go93iBcaC0cwgmacI
NC1p50oX5T722oXv2Jl/eK0+25eX+oF10eViU7eDZvj0rJG6hBOqNJv9ZIn4m/IapgskKbdnnVgS
J61bue666vgBhPOgx1r1bp3LDTp8gJNF7QFzHIxpuOljBzWG3badtZaR1D/+/cn4zUKDAsx1WWPw
xZP28vdXIjb8ZJKlW+/dMYR1L7AsCWZ/4Odl8odL8puPQqEqvABrN1iJz70fZlNa1Xi49u0cFu/C
mby7GVh6Qy/Z/H/4WtSg6LzdpaX2j1VNIUFrlS/qPby95g6MoguM3guv0qali/g/Wtzbv1aPX8MC
f7OI8Um0RSgRcal/7lTYMxCbquOTEhJhNiFRNPdFVBPSZWqs1WPBULqKpz8sH7+9lJyvSWVwLUb0
n+4ag8YSn7ms99jvECoSOQaMsLA3jWnrP3zUh27g8w5BpWFiO8F4gg7w05PsZ0TiRrPFIyIas965
cKXgJcRimDd4C4G7u422Ny41eb6unX4wdpwcu3E7j55TgJuTvFyJQ4/xSPZB/mgD8os3TZn53QYD
mAukJ6zjN/hLxk0Ga1YjZcyXdKxyAVuVfCVn7bkVpuSgl4O1G+A60N1fYrYYhXgMdUipTldRFlsP
bmdjzs0FAOhdahWjuwUHGNvw/gn7++mmNEuileIEE1+NceOES1JyE3/VOYPDY17SXdvjcS3EFo2/
dSpmXF17hpa9/iILBEQ3ApRveOdqvKk7/mwMGAgbnTH7E0FWbkoMltGN75ULTEk6VbrrZJ3f9waq
1FNTGtXBajJoI1PUMLEM4uSx0K5DknwHpuAIuShC3tBVVbabsmSKtqgZyuY67TlOIh4OmCLttR4C
0gN7Jo6EbjPpvioM/Gb0HQplb1Qhl+IqAcz55uHOwzATtuN69pEo3UOdNgC8tTqdbgcmF/dlIpp2
Oxl14F3MitgKRkF91B0pYsdd7TNdQ9AWMThleDzPa63TYF8yB6y2ebi0/0zDhotea+l/Jfc4X495
UTlrLWICHlKlJGq87o4+767rpXoKlZ0/54ZvXtrSBWJQpOPBWAL8nDo4d2RhACPejYhLL6FHE1XE
OI2xDu9tkQ2bLMiKXdT1J6efBvSi+i0lymAlO5tEhBSqLM7hH8Ixhm2Pg5LfofH2LiQ8QMWJuxcB
6hEqZuDmpChdaXBI37wWy58Avb8qvf5trl3C3Rzs+T3IJpnkj8sk0wUkeCuDotkiZ0gIcRjmNXww
68ov8vgG/z+QPQ8ZBZzox3F25F4aFnNUECbYdcNjGAiSRNKso6gg5ydnl9ho7c13xC8f61a0sKGh
+Cdzds7oLo2DaJjjjvZmNrN6O7Z4RdI47IHkQCgcnHhDrI9/G/rigid33FqDH++Q9UGlI75nE9pE
H8yUrpcwytUrqkzzuow9hM5t7TI6bZt316hJZmuhd/g0rPcELcljk2Nf9EjnPDpmghJm8ogqGvsT
wUA7YnstyNnTc4H797lMwoMnxX3STc84sMvtYJL/3nThc0ECH8EnWeEfkXYA4jJqHObSeMCLFp50
6CQbNyIDwGRkyn2ogSCkAcn3nBsuSWP0t3XU+Bfdge4bHH3dTigP8hHT+GSUP3U9QCx32uSQ6ALA
QuH370ITCz8lJO6hvuyTdp4AZNQlnKEVlWaDtbtKgpboVj+eVzYPz1NhkwC58WrOEWymLBKkSA4v
iASyL/XAU5ZOaJz9zDoSeTpht2+rnWvN/hX/o9qOvBDb8K+MTv+vxE4iDT1doxBi5JltZogeLwZC
DcIpgR0Y2JPV3lvSQEdvJszEyXK72xR+4/UriO6ef22AJgf56fnMD/Opl8aJ9qypadLWuMsbrhTQ
yZKMFCQ0DzFd/Vs7T+2HsCiz5IhupNlKsA5frMH2d9gqBgjzNc24ONHmN9cMqSfp76qtN5v5lWKT
/d5qP3JRrkbgZgaZOOSUafde9Fn4HtDcJ9S1JG2WUAgk7fPkj1+ZMxXvjWrQ+U+Ftl7x2ZMP2il5
JqRSvWD8Hzb43Kd9S8Xy4EN4fOk1P2cyckzqrV2f5orzdDKW4mgLeN904ZbAMSxRCxmFJwFRb/0c
g+/4XiuR7bLRqJ+92k4OKfan/AgwN9slmHufsPsBH/GA/G7cUBaIm2bNy5HbhsTpjEQ8cl25Tim4
jvjdoT7SQt5yKiXnIePcVBwKBfhm1SZR/1iHw0JYkInlIzZaxJOVKRBsF4wG4Z3G+fIMGsMJHmx8
j+MyX1Ve08EI4XIaj0hP+YreApC6iuyZX5W8jMfeHrvhJgrD6Jz4QFoJbZ1vKuwJ1yIW/FQyK/fC
TNz7vrXlvLDH65Or4viM3Vm90rqztzTO5DlqeFW3JXqY3dyN2W6oRqLscc5FZ2IUem+tJJRVXqKa
l4q7SxO+PmV4O88e2v5vTR81d2JurAedcL2TNAOWijd978dcVHJMpyuDR/NOyUZ9k8sJc12Cgif+
s04TVNAyOUDP5Mca8JcYz9cnhQ/leu61+tZOqnnuY67rjEjje2VFZNfNXcxlxVMeniK6EdBUWv0j
GLQ8i7k2BjCwQXQe8ZEq6t2imH6AqBCI65U9OKRsOIMVTtcW27LaIPRCSoVTpyYvLE5LVqguRChe
mdaDsiaSaGUVflVujI5IdtWri81uA1MYRZQN+sZa9T5FpOwQh0etX5M0bIabCB7I1QLOO5BVPn71
jZR1MQqTw4cPRZlGdO7IZptxCEkq8JI8xDP0zfyIFgwLeRvQxNkkGcaHuGj5C4jNFzrpkLebdFYI
m2fec9pYpX4Cgzq9+16vf3iRkGt0jvnRatrlKe9i1TFzseV9UsT9o6jaziPOnl+SzJPs4reNenOI
obk3ghlarSqH+Dy5RWkBESyb57yex1vf1d2jSUbsJVlutw039FriArjUAgWQlRnTLvDwUa4oMuKz
0Fw1P42nWzMypndzRj5kjAAhyBT0wwsEC3FEOYFpwRn4idWcXSjZx6+YKPWPeYDUcSK3Wcdbo4in
d49o1HIddnFYrei36GYFZpKcXNeoMCghHCxAXxtueBExR66V6nQ9HYu+d2O+O0/SbNQNS68reNJY
s+IzMaCVtS6subo1nJQmbj/l3GtT+3F/dB3ivdZgpN8rohdhm5kFQpdiqN8BfVuPIsJh3w8aaWWf
glfi1avvWC3m98pOVbMmQ5UM2yaV3U8c/rPknpHOaCjFZXHZyfXeRB/ZrJZU7ocZgeklaE1WM88l
m1f59V0bljT+a1t9aftJvYwgXe+s1o/OJMEk+zbACoGaG3KOjhdCgM/7XRpR+1STTGjeNYavWeOr
bGEaA0F5p6L2bjgThzvVhQ2LGDRJ+qat0zEQdvzXWfvtl7BQ0b7PiZARbsGtYdu8drC+kCbrRcmt
K7TagRPTXxtF1NUiMm+jiv+klVKbsFfONxlEcicUCBIlQKvYzgj3tnfcvcX1WjHRFJusbXgPYRRN
F6toxluKkAELbBo+2nkkkONW99iub4CpYp4xTVSLbdNsBghJX2r6P2YX9ygMVcPHZu7ZHECMxMAZ
9oR4MF7Hxnoz4os7l5MM793Qro7BmGB9bRMyZaySYWNNQOhRJu2pn6Z8k/Bu3pjR0FwD9y4x2JTT
ilKfEjBg/EcL9S2Q0GsyrxwvGfDnH30uTnViWixpwPZmR9fb0rVwxLTiahxT8US9vejOxupbMCxz
pqrdxXSWjzW5QEzLMPQe+rSanvxxiC5mGQ87b1QHt8rrTTCA9lwluND8YX6j/1e8ZAUxkuw5XCSC
xyMWek44a2+aBKqhLNPHzDCdVR8akAALgWEElMpVbC1ZutMw3OIqNPcOasH7rjZclrogunSaD+lk
6N12EDdWNKahYnuheAuSwH2Eo5QfksR7JI+k2NMujakDKeVWxRLZWCVDfJP4NG4qyz6GBIR+i81w
2PW+Ye4hBM8bPyGPeuh5GbWKyfTKaBVG0+ReUVyIp1TIfSnHasfrxAJcoa9cRS7ZkAEZJu991tlP
oxLWl6AIZlQLhXhQYInXIzXsTrJ2XRWhzh8t6Xl3U89dkj2awZ1HXbhq2gaIIPTxnzOjJnutImLc
65THAHZvlBBpWsKzVwrWvChSvR6xecB9Alo1k9jZeS4FPanvbymE8FM0lIcWaDfBxMIgNhQs/Gza
Ty2Mpx2v4g4WBzYvZmwUZF73pRAy/ArlhDJD9EBVPRMXqd8mF99sZow5jn+lJyJDQzPexjIn6Qo9
9Jk4tKpax0NA+BgCs+M0Vf2NKw22nQJmLS8cufQqGlPYTk6M8TMFwLVqmpJjaU64OoK0auhvgrBN
nwtbuHtp0YCntYbEuJ4VLY0uMcbbIHTqa4SNONzYGRJA4A0Q+QA7+UWSDt6k3ngI0en2vs5uQCRU
V7oEE6ZFRTg3Ax6Mk7qFrkBwi6vTgzUawXPAzJRzzltTlQsFS87rWuFsAtEXY93rW+sZ7lCDf937
Zs3uz7Cp6lcq1hwVH2S5VMPR9XIQXU7fRdvW64q7yaViyafGYugdtPM6GmGmUQ6NB1BHfXIynGoQ
m94ztXfwMsTaLBpudTbQTgOdmrzqTPsG85Htp1HFGCBnEaosmb4WRVre2bVf3EEkzogBI8Zwn8ZD
+yPXtgmiOY1/1KFJFo2NEv9cowI4ySat7vG2+MNzQ8XDfUs45MBsydklDNc55spnRwlG9cJuSe9s
zi188XiTiMsOE/uB+piTaVbE4hRlJFEVGfhL3WmaCHrqivdMLAmLem7DV1On1jfSIdnpK4GOXNdj
+AqAnEO4CBMjWKs51D+IASeWy4Z7QZhrJsv7vB5ZGHQ8DtXOi9q+2olgoKMBCYPHI7a7xT1YAliL
3Q7EFnl84au0JP8mUGPebLw0yORGlCaPUelMbbbpNb8l0CDkUpsSlZbHIYZQIGJcRamvklmSNUj0
d2/F60ENBHNTvPKTZwOs9lEMtB83sQgmY29MSwlAciRficNUcJ3GJhpvtyFFYU36JHfJmNnqUK93
4Wvf9HEMwyNZrLiRJKi76/jUrnbAhg7CCV7/upiyN6IO9ahjYfbTJso0z5oBenOeqPZOIKO1UwMq
XNML4tIDsivvJfqxcp8nKe0elAUIS8tszA7Kogt0tms5WoiRZ3mFlLW6lwOKCm4h89b1sAQg8h5L
+iGNMrP0SqNi6PckrnnxDa7I/r0njo1XyQbneOMaVvyQTb1NGAX4tQKWxF3mBTUeYDLUHvBg6ukw
0oYPz6LjSx/s3uR3pCrnt07KkJtHHl1pMP+rZL7mnvDu0vuPpw19Ga5ib7T8/bm09Y+E0wvZdAMV
8aR7/TOB7Jfvg66B+NUFSO/hcCX2uM6Ja6Le5XbOh5L+32kAoUoKRdVS0clYqPRoug1NlIbZCibT
OpENr7rgwM0mzP61LjqTXPcSFztAxxnY6znuHRMMLSUkCAm7xVhox1+tFLhDnVfmiZl0cxiKDhtz
5I8Y4bLkcZ7j4etg44776Hf+fw3qHzSotokL7pfW8OatffuvQN0vb8XP//2/bt6aKX8r6b//n5jd
//pH/w1pWGLV2YJcpl54sX5N2/GC/8CfRasaOQriVJuG739rUAPwDdjBfZq9MJlpU/yPBtXx/sPH
f8jsle2C/v3/Xaz60jP+ZTi22MNchqs+ZjBo0P8QQCFvTpsizghwilitqJtFeR2N0fS1YFa/jiJU
cb9cnt90zj8NpZYP9GBSmPTNaaAj6fj76AHWbNziCOUFHdPmDnRYT6bjkOz//VM+jYGWT4HJbMOW
YSKFju6TgKKV2uxrGY8H2mDJfliOC1nVECTukaFlGkO+4kRDJ7BOjYseOCX++8dLUNmfr6vFgBWp
BCJbfpvPip+um3y0fl57qHIXluE40P9gMTMPPbRZwPtxcxrTkYMJXS/kRip0OAs1KsGirxlx3Fe+
tCKk9f50o0HeUntYnJ39eaBLbGf83Zxw9WLtEKIGEFCl9GskjXa5bmH1vmPyzy5O6tOjwudwYOFj
U/Xc+lS4sn4OISHsQ2pGGj+RRY+lqh1O4JxRMMTXIw11h4NQw4npwR778ZZjCxAAV6s3H1+BSZZd
P73HS0enL/P+Me9oNuj0w/RN66cJKVg56dolqHqzeo0TDlRWZPIPhzEJrtlwcWe7nByD3qOrQ58B
6iCXinUvYoRE1qUvhLO3maUtSpuFrDCzx3Ouwjg+cqLD01FeVyJYmkG4BVfKY9qD7oC4SQiP7Tpt
PX+liQi5mZ0xOYRmgX4vTGizdvRBdNGGp7kjGARXUU5HFpyA5bT9IwU4jaJ0du+5O3Q8NAttabNB
dKQofJ+o/daRx+AlGcrpa9yG1UtnztyZGizOwR1w7XtDE54cSI/g+o3kAJFheh86NX01G/7JZDb6
aRlpXIfQqI911FoP0KD1U9rivh+rijyRwueKBCn5SlTNwBRWLl58sELk2GoV5uuh7O0tEanZhaZI
sOqsyF2ndtUQWcofIwo1FImpPUcHY8QcXIqu/o7ebaIL0k57N+nyY+VzcyePA/XYpVQwGu5QuTVd
wn+UBknRAhXaeALmAkEj2SWCJ7Bz/bj+Iph6rvMg6n8SMIiMEFn1rshNk0XDql6J0+gfw6Cab4Ka
5oRyYlz7pHiurJFvzFGLmKJsedmNWp4/eCsi4LtgSIR5EuCW6rOMR7GPy/6nxRxkPyW2OEeCO/HR
gBGlWiyc7M+bXHVc1yxSb16Op30cwjTdtKOBTr5CFn2hE1p/l4E539BUmb7aA+fVsuJlyInn3RlZ
2f6ADGw9JCIZNnEERsMyuLbgwc1D2i2XenlE83Lsfy4F8m7+IJPUM3eCGnjaC4vnv8l61E6RF55y
nb0MBkb6OGkKQqvfzS4As87ZhV4Iekz7GGv5atpTTQRu2D1GNs8mx8uMKYdZ+Rsh8lfBZOZnKzz1
RaWSh3K0+/UYc6MI/213BDCoM9k14hy0gzwzjbIeSlKDXzrpVq9GK5b+HLyJxg6rVwdfGknghrwf
/clXKyP1ocqWQ/UGgEqX68RZmKvACUFr8uXAcOZHXWnjMk6qbKEypPPN4E/6SWkju0xYAzliRFwf
qwUgMeZpsXYHMzm0nDYsjorI7OWYNN9V7pLKIoqMPhfJnfUzSClqUdJrna1rO8CoXTvy7Sc/C6zM
femrcmi/J00nXhLylrOIQcxckheKf6rcYn0fuhvCF0N5GiKnExdniWqtl9BWy58WllzHzMuSwCHr
enZ3PIckvbZoL3GREVG0I475S1cFFMY8YSfB+a5d4mIrM78YsvuCZ7jgu2M1nBs6ZNIbHVI9ovtQ
hl8KqASL+iM60OyNj4WdfdVSEFObhyTXiulb4hMeKfruRxbbZIuV0XcAREQ2zy5nI5oB11XRD5Cq
e3yvYdT+sBLaFlGir8YlNDcfGus0LkG6FpNMyJky2kRLzC6yvunGCFQ/rZs5PLmpfzIyVW+SnCHH
SgVhfWTOkROkNIp1bYLpLZKsr1ZFnr9HjL6BOGCe3HdaTGvYgJdpCQSG/h1cpXGkbrSbDjs35oWt
08K6SqaQqLTAJ25k4kYyUiZqeAkdLjzih1Xr+EBnkegpx+e1LK10H5vecmojvphRQoB227qH7wrX
BJzNNc0e8o5trv13DMWkIMs6gAxc0CwNVxEI1IOtyKB2reG1XEKUOZxRetsEK0ecyDfUBbip5BK8
PJHAzOkTF8BHKjMbuL/rP6KabUBJKbKFCzoUa2W1GVPjfgl3jjNM5YE/vvqoUenkZ+NVOUY9bENy
oYOPiGh3dCecGn0yMFeGrRMsadJeLxwqRKe+ozrzd4LxrXdUHxHUE4tITMqcYraueK9uxJJXPSzJ
1cRB20d7VDBn4pi3SuMBzmrimHkCp9aSJ5yl49d5QJ7dkLa59nV5GPKN0xvVyWrc+U0t2dlQu+cH
lSqkP5YODuMsg2NBavltsgRv94TI0uRXgt5mDo2dgQMztCjbahxFd94S3119JHlHDSI6U/m72uiL
rRHk82pYUr8RmaXPnksnxl8ywcWSDo7OnjF9nHNgj4q73DLYyxNzOCaJM9Jg6Ht651HwmPuRxTGO
J562bHxE0RNuA+JkbuiuiWSFr/JStKP/xYKqfZrQRBK2JoNYbGvOnD8F+ThxOHvX2ATB34oB/csq
Z4y2KUSMp17P1pHZlFejJnCbK2RnzkuHt1fgdxq8dGUPub6KJ1ICIXKl5k9VFEW+ER5AW3QyZn+c
awY3qjCaPfQV+YKvO0k2c5ak16KN9PfCSUngQ2Tdw6q0SiuSL0Fvmge85hrve0UHYmlOZTvih/pv
dJcriOfDUheo+m7E1AwBqy+rrd8XyZUx5rSPwslLPQ75BVHWTt9cB7WuxLoZAdQSaswAZYQmrddp
wjSH2WBymONSfbOVb+g1xEuCkQzgvx8lUpo67EO5NR9SqcvrwA4li7Nqf5CWOHAeHmx0AGamF8UC
q/B7mcMmUvAvLyrzlrjyjDLBC4mL3XwAerw4KT66nGcs6MYFo63i6yZODFIhIUYA4rKk6Q4TfCMw
7n8bVTcrmmLcJGtmd546qsK/iq86ITEytSb9Q5F9CX1Kxnw/q0Crvxqnyd5Shrr3YwYld7UUjOXW
7pnCpbHN1M5zy+u8gagkTA0MtxpYjBvw26DFbcbCsdRs7kFRgWSB7fyY2E50jgoqjVK66ks0f/wW
DAYdw11GLnW9LMpzMb23KTVJEniUJ0FdW7csg+UPJjlVvzEiemBEZLJURgto+oMbNS1hgbFldI84
Url3Fm3scm0WzbSPCne6gjjH9+/6YfMxvKootl5IBgGEOC3lL7i6F68d86ONjmDlRIKRSjEy5IH9
sCe3nii8FEu0lQyaNq6EObCqlJMfMzuo7/5wiPisRufcgJLN59DIYQZD22c9qOwMR5F91hzGmrUE
Yx7pbBAMJlRNI09Fwiw2iB3vvben/pDgQdkZlv3mpwp8BN7YRLJNGXKINp0qqpu+sQEoKFXeJLOT
XZlm4bwis4jHGxVhF79q4tjHvQ3LygT7sktGLmTBLSTmN5Fn08Kw14wFdUJOj4mNe97BqJiuIHYP
m6buBhBp3Fk88MaFkSSDLelN7+hLTLlw7piJOeQHslm41BtDlR+7jgeH8RK1EocUaFFRxl+ahcet
b4B+LMnY1EhjOdd3ZV4v9zJYyqWMQioo4El9DFeFsxhzxpCJnGP5JG3W7P0WR72oZ+wWzQax7QEo
y1e8KJl7Ymbk9dfLOJiLlNCZN0bdjluYSLG57pQDe+7gOCkqUaIAWkOLDV+IbEpMzkzmaoeUN8+d
8+iYsZVswnn5DyGFVLgxtU8rK0wgjvcE5fn21cdgDSrVSGsRQs+lMZcRJ/HefOOoxGU28vDHaB4o
obzRok03UVxxjDEPnHp4tKEdPqEtABdRWnKtpVE164LU+ZuxoWD26Sp9m9IOm03SJswO2NXMbJgP
4dxSyMWl2z22Sf7qNdTt82ipF3/IEWU0U9JTzDOYDrLBT04zTPk1L7txaVJm6RYv7F3m9Mk+zNDl
QAxnKt9Kv3obJ6N6E5PFTN3ObTrCI/fTaf3mlhOAf02SRL7qBg5bbs5stCyoIbFROEdzbKvXdqmp
yxiDHVNVIr7FnI/IIvKh21lzRNgdOqPrtPQA0xFbcFc4DaPPhc5GpHb1JjXGUVNQ2SqLUwtCMuYD
qxat9JOdcpCv65zRnUdkEqGWY/XGPA8ck99SkYa4Qb11JWfekSXXzIIrwv9JqCED7ZKWMnS7xeLN
Pi9BsR3KmLWoVjXdEHvgVR+DZen6YA/KCVxeXtj184Bg5toaON4ydgmuI0LBTwkhptduxIVrWLj2
5AzKNVPN/tEntGnVDlOy95eTN74d9aXIOJeTg8jJbCjnd5+3dN4m/qxeMre47UeP4XvXcswxZXS2
FkxkMcTumkgUbIo4+e8+futRBDQP/KTiwajy5R7AjT1ay6s6cpJlI0FFpTikvsp67HZjQ6j3KjVB
8xF2zIl0OTQkTPHKTTyK+s4kCGFYVylbwMcaqEqMrMsZGygMxj/axs3AedqBLUhDi2+Xe9PVHLnT
DdI0//rjMbRHjr483rV5GDtjuvkY3Tp6qu8+Ttqlw+NTDB76QYsTa11w+kCClxxywUaWox+97kJk
HR/HMshtXAZRc6Kg0cOlXxooc+JPu0xxEB/i+L3x5+lm5nUrl8gBNoFhpAfhR3QNPgbnaEzQF1F4
gLHw2Qo7poK3ddfTFClpRq+iwcyP48w3wuDEuCCaeQUrlIMPNlkotF0yU65VZ1TbIOURLGmYDNsS
dAkTk0Ke7cyV92w0jLO12+snAC10YmaR1c+zI2hQyHaov5NCYW+12U5fQbxxXrab/GgsqgK0rCxr
nKRCBkSckA2fgzWz5EWjMSf8pMLmkF0jJto6i3X649zsMXy/GTN6ZmUVi6NhGj9NklopUzyD25cX
bFK1NrPdX49mQssIcl5+JLYgvJiIGK8hmgJYRJp/7be6fq4sehcEltLLQFVXXg+FE597QYW7jsyW
xd2gEV7lQfU6othCbloH14PHOgsPhUuIIrX5bpYLejDLOmv7EYAKuYYjYso7vTzPdbMswzqs9BX0
OjpBQeJRa0A5mVdBW09XCTb5h3jpNg5Qm9kFKIxfLZ9HQsyd/tExzX2LLZQ2eIw4rjfL85MJCi9W
olXu8nXCpevwUVb4AZ2pKCuzSzH0nN4F26TrWdAslr0BEGBz6gBynD2WfM77NK96QyKmiQzJVjEw
ha8DrjAwOfvhA08ZFPTT3YoKRHAMWcduijrFdYjH6LiRAY2545Sb5fXsAFeUNsVDsdyDmHrpBeUm
YNUGMPOmGFD8MPPsH6eB8kRl9EXMKrcfDDBW+5B17LnSvnph7LXI51j2P1oxPWmWR58I5RMSmWGT
jjQyNKsJ40VDZzta/zwh1TgfcBeYhKGw/pA+Q/epynkpJrOvXj8kU/BC+0cnCSnRWgoWx0UJadPU
27LZ8/B8LLOjx9XgxD5dNZWInjhNTQB07GKp4/TI6b9xxtuGw/JX5VEtEVXKUbHXPRfTZHmLe96j
LECFZLq9oraGFqlI3LiMCN9f7XwskmMJHfE0qJzmzbJULlgEZiJOdp59WDIIg5dEW0Mv+lD2h5ij
Ku9kQ1ewbL3pxlsEHJBpup+LeHHf8qsTbZ7x4ibILlEWV+qbLhpKjlrP+RHhJ8WjSuKz7ZWvPfpZ
SL1LApKN6ARoScY1aHOTKhS0/TNVCQK8bpyYUue4vKhbIABDC4VltBpqyomqCp11gJlg03fc8MnP
5pvMppX58cePF5MsJrYYw+qa7xKkzgX9rTiWczvejjZ6nQLM2b4aKl7oBKlV5EkWmV7yZAvlIVyZ
ZQJA1Z2phAle3o06e0eeX7nbWHNw+GjQeajHhM2JYFiqgAkFYL9RNkRvDnB84+Ho5elw6HzxMjeL
nGDpgLccZLfgXfmwrOr8Uxu21R8k49YnTxHVqgWIGluPJ3Etg5z+e2e/q5yKHKG6PYiE5vCacDh5
xky3SLPQUk2CpS0OKL7byBzJ6K7IT9dYwGeKgygsObsQensi6Hy6KgdVP3edEOee2dpXloR59++1
tcX8RP197mGRaEaIGwC8AOvqp1/W98A99YajDwYKfiKlSvd+UpzFTCuNz0bHwYRuBYWo1XMoypBR
bkxaGaeMmuctVQv7dFmF//2X+phK/P2XWqytAq4k9l3sNJ9mI1HHkxwkkT4UhQMYMwjQqmu/q6/n
wfhP9s5kOW4k7bLv0nukwQHH4IvexDxwDEqkyA2MmjADjnl4+j5gZlUpqeyU5f9va6NKs5IYwQjA
4X6/e8/t93XdRRtO7/OWBiS0iaBDZEs0364XLSc5XJ2XZOCisjOX1SBwyq86zrx73w31llWWjaGB
MWBVtTS5/f07/4uTCpGEt2/fw9uEWPLn777GEl6GodEeQqyGJ+wj5Mc8nmOML6v6PlvE19nGcQAm
SL80E0+RYig4F3bkF3+fvfx3VPmLUaWwQJH88LX9NKrcfyvr8M99sn/8m//gcnwJO4Wp4lK9QCXK
v1mSvvObC7rCIi5E3QpoFf6vf40qmVo2ZddG//f/2OZvXMASLA40BcLL1j+i41CT8u4eXbD1/DAA
kpJ9rcsL/RiHVFaJrFL62cH2w+eBg+qqbbBMcFD+VBjuQ01fM/PL6pOfi0+4r+DNsWLCqD21i50d
A6J1tId8OjaL2b2gwPCoFgN8PZl64y2m+LZXNdxAgC1lhGW+XMzzxmKjX6iWF+PNWr+Y7O2MCID2
43gXGAWiaehdksWUP8zxJvXbnAULWRF78+JuraptY1iUmy/Gfvz366rPb6fGcog4Y/5PSAHUSxzA
aQJnU3qDtxbT0H2wYkXFyRIgiJYogSRTMCzhgqYNn1yZxxxGCB54SwShXcIIyRJLMJeAgnAbfOFL
aAHXIU/z7JFH2KpbYg3TEnDISTqUnYD7TkxnUy8xiHgJRKRLNMJeQhI6q3AzLcGJeolQMN9q4Ddi
6M7IV7RL0EIukYt4CV/gv3q1MLstiYITphawgjFP0WQJbXDuDLcEiuB7EujISXa0JDwwhN8GS+Sj
M6rxoG3iA6NXiotaoiFtT0gE0XaXq+F+Fm1+SQnoX8WZX3erhPBtigc1A89ph8PW8nsMETzvP3WY
Wzmksv21G6MFi1fg2NNhXz9UthE8ALR1zggF2G+M3KkPYetWGCR0fFOX2fApUGxoYeqoxzG3UwYG
JeqFW3Kki3pFddgA+Z2iVv/eGwYsGZmN5ymzeueAKK6fvTjxmLp5ffZYpAW0+4xQkmlllK9xKsWc
JDLOxaGp6yt87YtOYyMPxMrqBNZYBq2NpYtT3QQBQH2aPU70eWKoq/zCq1Yx5Ys07JU0uJqEEM4T
2aydhS764llYoTZjEBZb4m3BY7LUOfp2kG/ZVpUPIi3Fje2O5VkuZhWcecmL1gFnMSU83DUx/M9d
nhjjtiUTcTc5Pbx3SuYKtGA5bpu44fsb8vpg87Tm3ML0GlXHp8LWtLPHCUf+57rz7KNBdWSyDpuW
T7Uu+TsRE2I+QGNNhoauLybz4gO2dngkLT+SePfUbcwinO6skEvTQeFOD07T88tXUzhdPFoc4lVe
mhg+3Q4zXOm46dqe+B60n/EDBayjaktJUbGd+nzajG3OHpn7bx+7CGjQWjDnMoWifsWL2uxRiyK+
oWsL7w69RXvR2fobY6LxLuhKffv2zhJAQswUOsGPR8jw7sM5ws3s1I67toPIv5fLzFIabf49Wzxl
hVN0H5oEzF3pTgQ44+UXf/PUEjdtP3pjzl/MYGIenZ5FZANRaNqaqoFsMsjk5e1KSxw2q6sZMke3
EhPWyngcFCVIqrwdNKXSK3xkxDHwgj/iLLNQ8JbIVZtL7565lDyWaTBeBPazTV1joLTCzpMH3fOl
slEqTnD3+dYsNGTmS3n7tUUYvinM0r1FlZrOVSCsS2Am/mWojHwbcUWmq1k5wYuysPQPTh7hhA9G
flDv84rehECehZHxUM4AWmYXg14VYhwtsxbs7vJt5UNePsThREdikwZFy3yw9xEP+OQmTzpXompk
QMtABsjQDfnx3UAG18tGrvqZP4irPfukE9ZWVWJ6SOabpohu+mq664zmQ19hK+yd8gXC72oRbtfK
v7baDgtyeBf1JkeFNjrkSf3dGdRZ2ZgnW8x7heVdxsbG6BjtW3d+DOvG3Tjm6F+5ZJGwWdDAAxbd
0lO59q2ivLQ8x7qVZYOAWoCAF6mTj41IxI3bs4anwg85O2p7LTxALXE+3cSj2gxjsuEwe7ILL7gT
rTHeitGCeVqGBMsGhJK9W6ZUI6hebqHF4v8mAnvoe8j/rZ9W0cag9a8Ix3VfWd+qoi/PFfuic8JR
F8dBLo625XypRXsofOeeEEO2TvvOxkIXBs9GaH1qDJ+JI1SsuaBeNeuzluA+3EsjZ/CDx3c5ztUI
iNp1y4cOkwx4xmT+mvcOzjLGpktEeqfb8aFIOn1SXopnuY3WjjPzBSNg7saqC1bJMKWc3sVHd0Jr
w193TMcpP1LhaB/YvCET+x06U5EGK1N1OGdnvTPK8rkyAe2ORWleUUjunSARL0Er19w4ffBsirxa
U5+AdWH6bk/6omPf+xZb2PXlUJkvnmuUG5GmH1rYK6/TZNhb7nWO2uwe16h3ZKXI5JzoMpPVqp9n
1gO7zw5hMtv47Ci9h3+7sVTwUOXN12hqg61Z+NMNuc+BIxcnzpaDpAVSsphrCo96XCqlcG8y1vx7
Liu4v24g7ux5ktvB6ooSW56RHBAT9AYSck8vh6W/NQ5NCfRVHKe8TFe21q9dVsKD9hu1SUT/yQyQ
CcySp73C9gizpvuCN+y5imwO11XwcRAaDJjNSM8hirEG2Gtc19L5GABqWrvchphAi/ATVbDNGpzs
psUWc0UdS7hlk+B/RSHvLx520I9I4csewlNLANOdTkMbDJyfrcAf0b+Tj4nX4e9tZP6tCbzkG9b+
7KTq3Fu6ZQKSpAbuaVcOu7Th34Y5JZ9za954QVLeU+MLESGq2FnhJVgNuvZvdK+Z3kIefRksYd+4
LVg7hx3WqnbjeZNxF7GStzFyXVQ41TogGqhWMGjDq55UF9BiKxAMa5uZAh9VdTs/rHKTWyJ8bN3R
uHVF7dMbh1mLL7E010EdGts+TborsBAczEVBFUFZOZrK+HngMTh25U1J9dBJEkneBpSe0o5TBY8K
rMwFK3yc4OKpigKDSWHctKHvHNkppHthltU2Hmlkpuy+lNuoHr8X1I/cijxsPw51PBxoDa+e3IpT
MhpnscHBig3XG6h4kDqmg3Q+pjm7MAIvxsksWcA01NRDCVJjres2IZY2BUT0hM/bykhsy+wzIyxs
SXUw3KauYV7XQVFTcFDW+8qCRNENabBmz3A9EiCGtbMPLRSgzJ+fk7ou9SYperK2Q1WvZ5GKFUfs
bJdLEydEncr9jO9mRE3e16TvkC2Cpdq26e/mlD0eHoGGJ1fv304DweQKmDHRytR4tlt1Q+lR823w
qBCs3KndKe2GcJsDfCN2RRMnzdEbSvi4xXEpLnGrC0/Q8rbwwKpr1U2rxhycR1uP+3EYQ8xE88Pk
2t7NyDBxRRYOzmsh9hj8mnUm6m3Zl+G3apz2dssjr0ej2vZx0m1HcxxPcS+adZc0wZHumas4rC4y
cJyNF/jJcZrd8RwkgHZIYRlRusym54tKWV3F2etoOVmQhFEm9D7NhyS8t92k2nALN0NI+nCQPd1C
hhHySAgrLBCpMsMJT/OQTeNxZP87o9zBxF0nYZ4626lJ+s3oa4tEAgj5JFvx3O7KTe7GgBqYOUbT
lyj1h16uXDsorQNPwydsv/eGqfpdXqjFnd4NDwGd9Fsxzc1NmMAaTnpHXiM7f6pmOwYQ7F5iVRrr
ZG7bS0TAcoOfKbmtPO18bkaktQRg8WdY6e31kHvGLhb9tzpkEjs4Vn/t97298XwyBXLk9IPLuLnD
k26hzWKRCNmqbK2AdMhkeC9QOQPE9i55HdpwIrhVS0DiQXDCBOiuwsQ012mFOajv45FWVT/iUakz
0HOSsYuvPiijHVdOKs846oYVDuavnjX0K1nl9Q0TQ3jS8ktE0w/xoVidJua5xTYRy6Y/xO392STX
8NVLneRqGIqGfXwjDzZS35EOpwcT/h+eFPYyBrHeNj3ODKYbNglyupIEhe8php2fMlrSr5so/8IB
NKT426o6/NYopOepCMpNXERfqjznqW9U+Vevd5c1K2hbmqLjflcLs35m++JuLUJSlzYAQc8e6GLH
iXNLEVDYrISV2SdTqmrjTTN3WlcMj243dOdKo2LOWe/Dxpva7DYtqmWe5tvRZ7LrJi3NMO53uYh4
FJhqae/iaFiyD8iU/9UPTRaOPnTEhViU/9TWnn6e7bz4PFPqh/IX2NJgyfeWQm1zKD4US/LYWTLI
wZJGps5zpBh8PuLWKXAEcMgql/RyvOSYxZJodt/CzU4RUWSVJEO5snjx2ypkU5K8BaGLJRONw3jJ
R7d/xKXZPS/p6fH3LLW95KoxtPeYOslae0vqul7y1yNB7HRJZDdLNpsA0FVadznnLHLbbm72d2HU
anympLrTJd89L9K9s2S+6yX9nSw5cN7YRw5+wcZTUbkzEtLi2Vtw/E3K+K/q8wvVxzJBCP+d6nP9
2jSvX6Ku+da2zZ9d6m//8g/tx1W/Kdg1gpYHPE5wP5CS/lMliARDIyBsPAziJD7+rf1I682L/nu9
n4QvgSz0hxYkxW/W0qmLsR1g8tKQ+0/EoEXq+VEZhckHOtWziczwYj/ZqZU9QSfXBkiAOPtOL7ja
Gz6IO7iNwy9k7L96pUVJs8HH2Oxi3imZWSELuQzLD741g6E3Na2X5chaEnW/cML/1SvxGsomHgBn
3H8nb4UtNdm1hhMA2LBD5TBvmz5PVm41P/7whd/9/jH9CKv5ixdCkwWJ5PByJq/1Zx2t9zKME/Ws
DxPTBJrTv6MKfE/43//JyzhL3STf+E/fEbTOuYkcwpVw9BX9U4vSwSxrnZII/ecfHdcqVcgeXazg
Gt+p96E2c/g6/EZ9kNdXo8kul4cwE+jiVwyt5Se9u/B84NiMfsGB/wy38nqiga1iLYwWKcjtpssU
jo/CmB51/0sk96Lv//RiNlwmD4YUddTvfi1DOCX3ZqkPGMzwujPIOiR+RVDNiF9NH48S6BYb9YCa
2H/+1bmSMBdxceky6P7zFeLWJV4cPGsHpgmcGGva4xxlpI9Gwn/9/UstF9tPvyNTDlaFpbDIe5fM
mLukm2IGRQej40yc447fJpYZPPz9q/zVJU8+5t+vssQzfmA9Lrma3sDKfTDU6Jytenzs86E4vTXs
/u9e6d1HNxA6LIlBcIFkHfmxMXl9A2D8+vZ6o0T/6ZNjwOYslePukib66aLXY1wavuzSQ5STL+vI
D34v2aOz02iHxsxXocTQSxAzIY+YiPamd0mNCtoab5HELESr/DUfy+LkWwxiJotvtok1oYsMEess
0Z+vihqCcOo2gMD6CjdAyxDpEIIo2dsjF8ZW0qrzYEtTvsKBxYyo+GPvG8K7x5Hu2/gkRxA6VIq8
EJbnoF1QKrYeZvrbfnERgc396TJSlEkBw0JOlkh0726VMsgdP6dVBAmMyjht9jSgTUgad7PMp60i
eLIRqha7ilnFwSSju0kyWzFVRisjGYSIN+AE2fpjSL8yVvQvb0ZKLwnsI83Uyygh/f4W84eB1V9r
sEqkc2Y0Rot6Cyx//JUpQnvFcEWamafnwaOL5X6qlfWUeuTgnSAhbJmjog707hw4CODYnQq1HxLu
7dQb3RDL4RK9ZKbIYKxC42vbqNgyoii2LfPqh9ZI5MlU8/AFXqPai5Z8cu8KXiWR5RnSMm18zC2i
csvx0vycpIuI2fB+IDTJ1zzgl2Y/Ta2rCvUtVvZy01KV7eIwW6Rn0WVEQCvOgEBA8ChUJpdPUiGm
GrU2iALz2805i3ieeO2aeI5FhIiFNgpRYl2XxyGHQBKdkaYPpVfCPkmCw/sEr8NZoF1v/JzRpK+I
pqPxWk9hBB94DEXyEvpl9kiuPt5Xja2fKze3ntiqM/XwUEaedS67mffUI2hGnlaLvD+x7pHoRCk2
cNU8NoPvnLE/5PeGEbcvAR/NOUoqfet2yXf6TzuOka71lPvx97EZggekwJLGnOXdNw2iera4bGsG
/yHrnMqiO/qmxksyMqrn6dbSL0lkpA+5f9gSkRyG41Oc4tDmGpcdTv3Q1uo2caF0AiYVN6JM+BA7
SNV48wf8qm9LQNaE8kSYn6mCy0eWgsJ9gqeRrKlNnNZ5pcMP/mzxK4VenL6omYNVXqHvBpAgCbmQ
MSZSPdduto/xyetrgcNPbVzYUJ+iQBtqi2Uf8bUoU4RlF+/WlcHZ4Mk3CucDqhzJXi8qT/yO0xZG
Lyd4068OMhHqsYTg/sEuSq4fB68EJwcCYkC3o4ho7FuEuB41BaK4k5FVg5HY8Whp9FMjTI012Rn1
2FQ1t500Z3R/yeN+nqjqbG2Nuu1kg44eW/gY/b7zi+QVOdvYqYL7yGXuA3FB9SDNaE7FwaD6T7Cs
0r2j6UjaDUZtxbtE2868nYmvgRlowqFDQ0rF51lpmptm7i1pYH3foN00H3uv1c+0Wzlnb8p4nmBJ
pDIL4+yJOGaMDX6IDcjxfBNOFKYvFbWQp7cZCu5ta53WyXesIIq6UteGfoKaLkJmDMYEf2oTEeC5
CVO1TPwyBfGWb6hDsOMPPGaRzxTbiZAak77u0k2kx+hboZVzKFIXZ6MboSmApf1EGrnf23lJyFjR
5bGdB784DTL+3hDEW1VGiwtfkCmuw29tV3ubqEGYrSwCNv3nLpriU164GPYC7Z7ZFnj3bzMk4hbj
FjNXf90DbN+GKfe59FuYkdpLn3yKks6m4lg6Ix6H80hrVk7nFSSEGHKZ3WZc1KyK412UEasqukTd
2mywMapz16dw2TZ9r8HPQo3bzjWrWz60zFKWPYiW/N7AZF4JOPu3PpHn12xs/HuAm+KmDAd8XTKw
T2PHFZWyoL50ivCQmQEo6Qt+fafh7LzKaee+bYtu+NIYNTH/sGHNgSDv3wuXgYQ0s1fHYaGsa9YP
NzKgRsbjImsDMA+8CluiY3f+fUBTFj7MbgmzL7vOTtXVPqPBd5NMCYuYhWbjDrx0jUUSlBhPJUuI
4UvkFGCfMsqsVWNyBRP1q+Ps1tacuaPBJlpPHOC2qZYzRmmVZ3QlLiY8QJCqcwGy3ePTofYDV5eL
5e1t1R2i+LlNqf8zB1arfrlGSIOLmxRN5CZxxnDXTyALvYFd1cowWucmAd/S4CNZ9+XSgr0gVVAc
GQvMdBQSqFO3sxcUUNw8ujeMZlh3fMPAKMz6baRZfOh1GKx9tyiAQQN1aDrWHiNk9RgUN33a53zm
qux2duIshCVGfnYAhEGJrj1jemNvXna3ftpQleaaTKuiUu1zFRrXUGNu7djuPxnATG6nMWqvg2R+
ik17IMBFENOf2BUQ3ncOs4pnjL1VfquNOrjL0mevqvMNEQQaz4NwLdv4I/fzY92b4QFxgtbxkBkA
U0h9K5mLg9qawj2L+2fDAa5keTz0UsXT0Iij7LEi4g9EkRXHzH0ie6bQdDDzlerfF1l3oeTMfAc7
zqHDKnVH0me+RMmaluR/Dm253mM7XkGkhonT0m0I2SzLWMwSDrwVl0ii8jX51PRYMIBQK5846apI
67zeTH0116tM23FOFKBqTQJKQ4UAklsfm9zKT0Nl56eShmON05fAjp013aYTORWSGBLpenfP02CN
+czDJ6tZ/3L6tC8VvuIBq3YSGXsZ93l0YmJr9+PKyoPeP8m+K4tV4HZwzNecSyiVYVRXe9+bKYko
ZuvT/Jt2iJqJOPSOI25i4rZvfbx25ZhYP8elpZfR+URJeN22d4XroeQmskOVbPww2bY6qiWGnE70
5B5E8+KnZoqSPGYPQ2KPJGqFy76SgwZxH+1N/anIknQTa/Oz9LuDpnAOr7qNrxYg585yub9YOPp7
x0mMa2EXBnFML6cujLpaqMudRfl4Ql6CkXp7QLhrcScHr2lEqbI3MEqxlhhk6VXiU95aNC7zjMal
HVILDCCByTL4k/mG2zX8EmaeoJlwqTbOvFGtk8wwjvHomD5Ujpz1DZQSi37I7oSTowQpJBV8Xc0v
fEi7gcS0z+T7F2Hz9wRk6S9xc1i6pnJwlFEk8+fTRjPPiL2NmR3wCLLeoIxet2HHbNqv2Se8jWIn
20Dwtmb2FamqyzM3vHNmhEw+S6hfHVrf0Wl/fz+oJYI563Lwf3fg9xgdcA/wfupcPHYmbs50GfJ6
8WuRdZdg4jH394egn07JHE1MjslSwtpA81kOtj8ct8haOXmIqfPQV2zCioDpoSh4HBdFVJ4N2FTH
v3+995zl5TcUOMyXIi5l27b/7hRZ1GxwpEvFI7cwfglWCSTgpoBxCc7gtTVKxZyXkw+1L8Pd22OH
Pmnh7iMLmxCJV+pG6G56fRtujw3P9V+8v3ek/rf357CLgq7gOkQJ330gqLMBWmizdJgk7DGNply1
zMHWEPA+UYNiHEj2EE8kO7VzajLMMABPf/8WfjpnK0rFqLHgg8LkaL2v92ond3B1jLGeIQ0JXSMs
z1oOv7r0f1IseBWECouRjgSE/F6I6eKuD9yijA+uZMPohtyshXZbOgoVe2s3pQt7Stgw47/vP/39
L2j9/BnzWMZv5oNKFEsT1p8vukmksq+zITpIZjwBAQKScUYQALDp2A42oIWnW2U46rGQ02OqJlhy
2hm2FDKCgWlLhOlljYHCUmWdb+NS1WyhZFof2HMSRSEoCKiIUt2jETQc1t7e/X/16l/o1YJJExfR
v1nbP7kUj1kWc8E0P0rVf/yjf9kUPagpsD3oRsG6xEXOz/tDqlbiN6QCF7VT0W2wXBo/StWo2CxN
NDl4vAnJovkv26L721IDtKgJLrB8FrJ/IlW78qcLk8Y0mC48DpjE2/Cz/3xhxm4sk0w00WmssF4x
Oi9pn8QBcdaVZzSraRQSBjGTL52SW+KA5cSMfnvfYeDeMKI51IQu2deBDiGc5clgS2k0YnRrmuM9
do5c7gWBWeM+JZPyVAHmctbgAEOe+sHSeNtbTX+FC8ivVlngdNaqy80Z5x7c+SuVcAZbEUqYj7OY
W7kqEtbKOfPsetsDnI3W9lASP2gC1ifpG9VnlUzelzcXT+srkG8zhbyrSGdtwyZjifWKcJAWSdYW
loTK3esBUMQq77tLQ+5g5zW0S7Dj6k17Q2o7fmD3MN2Pkdne1KGVXxZLWrGF62FA2EOOcVaFY4b+
yk30JXM0h45wqLZQI6dDSNfVydJ1fBaRv2fCTJVqVMblziFHt7aaCNxYy35CbEYHaByxL+spU8xr
Y7vOHoQFGJyU8ktIqOHWKSe1AR1s33UEL6jhnuQmEtYdh7ZmAxTX2xoUB69GbWR3tmdkN3YxXBxz
aNZOlpHr0aMXfQF4qPeSnr81Y7/0LJagMkJCdelr2+Njj+LwuiGOfzNEhc176+buyhy2lVWWN4Gu
8+9J76pdT1/WrnEo9glrr7mgDH9xAkaagsVn7RoRZJaGP4jaPClsoavay4u1zpxTP5RMsEHyPiR1
Y1/sUY1nW3vDHThgeK9p9Jk8X/TqlO6wmcPxTOp82jjg6EC9BBLThjbu+3LMH7I6zddFmjU3lp1G
65ZPZB2o9L7OkvbGGJlOxNyxHxkFBrhJ2KFNQJk3Gt76Vji8Uw7G4cbsg/DD7HsoWplfgWdLipKd
dZEkmGq0Fmc7qszTZHZfM/7+bdjJ7N5DOY1oAQ7UxQM7fc9epl/NNdIZQ8Z5vpGGDc5F98Y+hfC4
n42uuJgWV7Tndu2VlUq5aDkrXdtyh1O/uS5pfHzuCTzGWwNFiYLzSCBTpFmF36aXm4pA3L5LApKy
VXdmONOczMi97vumwrjpFnBtSz+hUnkkBgrcJl01XIOcwIgAdgFOU3duHw0j22FiufiYIneBd5Y9
x098JlhluuQusutbAx8icAe1UZm8CHKR28LXcBE875gn5eO0lOEwLX/JvTrbwQ9r0YNi6+zIASbC
8k1NX40QD0Yp6NiZO/OJvTvHwkkFBz30BnwOpbZBp8NNYspnFsPm1tL5uDOauqRHNHSOE+67R+ka
Ayhyr9nkAe1ABg4ONzFOHmVyK7B5z1A/q23n5fU+w6kKJ/A0t/FVm7eAD1rcwxgpi4DQPI7vFY6B
nF65JN8Og4536ZCMa5kmzcUP7Oxe+054pBoHNvacIqEqd7zPx2zeF20KoF7rej+no3st6x5ioj0c
60kG6WYQzXA/yPYRNxh7ompybgYpooIbrGzkYGJQM2SmNpWoreRuCgY7vyJwf5PX/ueyKh10yFl9
SPCR7eimRN0jRX832X58ixnitZBaHp0Ks9kci1dX9w6lkrXZvjQc7vZQnvWm1pl1DrMi35HW5JI2
w2zd5zIDmR1ldxPL7ioaWe9oooUd6RXTy9wpWjsC1mcMIe1VPI3Ti5pGksSgkaqHqka8MV1O236R
35a4R6Haq6zTd6ETYOzTA13U2pKehomwQAHmpDzqlE7tVVzAHih1oS5t4n3XpTmsQ9KUuyHyM1Q1
X6AWwQ/3V9ot8jJYE5jsxnBddk6CFyd2DYK0JN98q83RpsEasrhTHjCShM+mRsjD1BctYpLJ4Yhj
ePUFaEZJpbpMqGoYo8Fyb9Pa5wielKPPaYlm96tR1u79yAP7wa4DbpF04NI71ri2PzVUtJ8ikq4N
yCCbunKu/ngtaGWL1sIIPAn9WXuXCvi/tQkwYJxKi9bHagqMXcspPDwEVXuc6Ii4ZXSSPcBptr0V
pn5vH6WIOWuE7+iZOo9m21syP3DajV795UCAeITVAbN8K69CuxaABglPcUgeaJzsoS5cD3bf9ysc
8JhHWNq/c1hgUEwf0XDd9k1zN41WRbU8FMAauzahTsQADPMrmpa6JxOA52tVm/Ezz2T80SD2rvE1
5bdB76jv5hh1QOyzwL4YMAqfjDSbb3LTO7I5zujdtt2vTqFo1Y4ju+oAv/Z4YOgjODplf8xZbTmC
C2vaoFbCVVEBnyKNXZH/2PWTc5W5TfbVSMwEZ05nEUlmDz/cw/9xH3mOqK2maXzXAWOgtNpDg0La
FFF4rONx/JLGZOBYjEIMcGnRL71KuFPyKTLu4oSg38qy8/oZ5H16Y2c6BJYVQBxaWwp5QhE9+koD
d3rBY/JARpMpQjwXwTEVaY4fM+JmReevbmfID8G6GRp/Wlk0IOTbyVLmtc6i4dkZpuFbACrqBYBX
v0MGUNS8hCokRF1NxqkWSX9HSwZCqN3UxhdpTmhL8FURGiEoH4hv6PrgGYN+USFIjfU0B91Ri9Ym
XxAn1UQtZJ48VTRuy5Vf2i1l7IQDiPBDF3JbnR255yAydqjl03qSY7WMvxj6eLX5HKg2kNsiNtNx
I9C+9h2J40ugtLmv7MlbF11XYEn3JY41O0r8lbOII3ZqeVfT0FYnEbXuxkXxRhXqGsyOXHBepuc1
pXCQT0z8jiDN2y1VHEquKL25F13TbhrHUVeZ0WOb8XD0bEYv0cfGkzXZ3qyon1GgW2+FnacRa6qa
yk+wpjTzH8ieFfjwav5G74h9HZiD3tiW+xlpQ330oiJ/LcOm3NkR7t8NS3yQr6Y+xUtGUQgrojNO
5jGGHnitACq89E6dYWnUGLCt0JlRwOzJ/uwRIDy3gbAfFW48QDG5PcpVVWO3LRA9D0RL+c907lL/
ABF3uvgpKds18Drx2gPvWuvC0S+MHdt7R2GxXCejZT53hEKDbQi/iWvJbLoVuQbxVVVWlWyD3A2N
Ewal4BOupOIjdlO32dlFNJ67piOImxgGicW6QZejs+GYhOmdOXfxp6rwbsKpJ6cDTwf68RY3bLQu
plbdy1aZN5jhgSip3Is3DrmSW8ixxsoXobevsJnplVP38rPyZovGrVKHy5HQoykvHzAsCcMW01pA
wgGLHIY3TWvNmH/n4GglGd536bSbGcbHrjPN7koY0dbt4NxEidXRiNO5HhUzVLMuIUJ67ty2/hg6
XvDZlWWw60uT6gm+zXnxhcruOrLG9BiyzcLIHDg4wOKa6QUxc5l81XgHQV8sf2gjylha7OG6BEP0
lAVj9iF2zGhvxo7B+SDormo9KjQ6infPiJWKqDZ7xHwITz5o9mZX1FWHW0YRFKTwNf3E5AAAehQM
PVGD2MEYrbXlbqtgns+pIfRpcKW44jfMriwZx1+COW6J9rQtNQpVvwuVXRyrLLQ3Vjo/6WkcurWw
RP0a2pV3Bw3G+CbMuP5d5/nvKfkXp2RmEEsi9f9/Sr6Ov3B4eC1+PCX/8Y/+dUq2fgN8iRoHVlR5
wMsxJvzrlGz+JuEoKkdiMcE/5hK8+yPMJ/3fBCdgi9id7ZrYrXgX/zF0LVk82J2MQDl1e84/OSWL
dxolzgyKOCVcoOUsLs33Re3VaABDyxpxLrTs2wqPZB6Ph5pY0h5ACq0kKwq08vIqSYUxMAyhTwQg
TaQBLSjtvHpxX1hiM5nJIpw7iTtPNBTITCY0dFR4oMEEoUBVRQNj84dP+i/sVO/ETgvlFLcWHy1J
B0xx79+533RDFtRzfQbUQiQnKgxM8AsfuPdMwuKcwX+hJiLZohj8YP3gJcllLmou7jeXb/OdoGvE
ma0NarTPeHeuytYzknXW4xDZJxLcFm7myqgOojZhPw2VqsZ1J3viQcpFnttRqirKY+DBFl3Nvcen
UrgBE3ardamYKGL4fGDFGQUuDIbMwlW6l0FRnpNGBDXYugKnh0iD2uXRUOXzGts94aBwoEXgbLj9
eMlmDCXA6J3XttBls0oqn5dSDKrDbU2YgHEUe1+L/aDBvJq04rK8t6Dzd0EDIWRyoXvWwuYiGGxE
2dpGJJ+kQdECdW7ihj1pGq+pRKAbCyDLEG4Z9493ZiThaldRaH0QwmAEHnsNv1tTA3QyaGK6C134
/gyu4//H3nktx41sXfqJ0IGEx8TEXJRjsYqmWDQyNwi2DLxLuASe/v+y1D0jUX2k6Lk+V80OigQL
Lnfuvda3ArW1Xav5YI14AgA5WKRRqKTkLwpn10ZaLhL1LMHFonRtDQv0B7vG7mjV6PbuiMdGee35
s9e8twA8JIdedtx/cQfx3LC0FWORlfVk2IWlyCiF1/7RtnrOXNop/p6ZgV59LZuA2cMI/HlZR/Cr
LaZKI99tWFvV1spGdDhqac1xZZhUgxqog9aklpXmdsGzS0kfqNzXjEbnyzAzDRsHyY/DKWHU1qbe
A9hxfrVJCAcmkdnhKngOgtD3CcTQZu8sZlluOY8QwUkB4rSkRsGEW7nYwh/nhewZMjVcSxwxOhTJ
YdGXxNcnBysFBeDU2PUxJNVXACPsDX+9jON0m8TT8kC0F8ZcpBNqr2lZASieVJBQLkkEWhWgHhk9
ebhccZtYxRbOZbwp3BY3qjWp+Qk8AB0GN2RqV2YRlJuFmJfXOOvd23mOvRdj9MXdNDY0YTBhvlqM
zfc4HJxgDWrcf61iKvDGNjPF3odbNplAC4zT2AfrJNPTnrKI8vlA54fkALf2wxdssl3/YKULXkqX
kBCiv6TP6Z3S0pP3Zq9cm15MbBBwV8JEFzqwnDgpm3myY1if0PJw7VKbVvrXOZsJPObLMvva4H4g
pAXrY+bR4FxTnLmvnVXRBmGmKp5g9nJ5itxovZURTVxbQE0FAhu/bj5wZni4/Kziocybeop2nWk0
3XsMwuoc8IqXW2PxOcGpxZJ9lcOmOLoYuZpVpDomweRb5MQkWOqExK/dE48zqxu7Gjj1fj1wFOQT
GUZKnrZwiy+U84JjSNPiXSZRVZJb8ilfFsN4MQZ/aW96GmuSPRLMv13B4Gp6XkoGjM+pY5b5ORoz
gGSlITH4jLZ9vYxaCrbMJeeSaSPnUpkT4rEwjDkRDeS1fVQEMJAd3irJgR4otI7LjUz0Exeuhlko
N96oH4peAiNZqQkMFy/z2npKB/K11oEIEu+9KoLBus8o5FsAP/hdP/lkCd0lHhEEkB5LjmnkMfly
fhTL7KMUEsgX9g0AnHYU9Pk7yRsCmr6KFleyNa8qL2ACYETh1i9iQ27pHPKbTG6nA+0grnlfSHGX
sbtV74IhavMvLhx2C3XCjBNviwAey1DJ+rO0WG7gdF1HlRWUEOFqzzSvE8tmeuwKrfwiaMQEkbtg
ZEvj4K6yzfC9Ow7keizi0R9jNa1FWQ/PQI6NLbiJZMON0a3tIU6u7SKMNki2iJIoyfxaCcpVd5P4
pbtHE+BNoJCz1kgRWDGE3DmMhtnI1I02DBQNzQWY+C90say1XZofDUQAq77CIZjPFVF0ycReX+RW
/GeBReyLiu0Iq7ys7vvCuxkm2c7bvJDqAXd0/NG1x2pb6lgZhiP2GWlq9ZGc03JnVSZCBH8p3ZXZ
+/IUxjhpyMtCY2gteXGbNnHxbGUdaQiQ+HeLdpMYo1LrSoK9QpqJMbdYyhuX2fd2gA71wGu9+ZiF
Q/I4OsVp8k2VXWFRcHbt3KoVkdDV1UhT8jHuvOJ5Kp0u3sm+AqjIArYp8nY5FEYI3dZmgj2S9abh
UfTi09Gun1h0mveVWzYJtvWu2gWpWb9LPOIJBUsPCgCypgg68gd113jKXsXM6Ddx5HdfU0kaWgGY
ZG8tWbzDbGPduTHbuU1iukTZqJlyYNPhvUSqU9ZXQdHOBUNqu772SdHa4QN5yKK6udJdhA397+Y9
ECR0CfB+vesKFeW4nUsSTsgJjB4JsfSujG7Jdy5ZkmsjM5ZgR7aLd0fKWXvkhT3vzaqarydDhNdL
n0/4liSp2yDr1i0hhzCuOu9pTMfls2kW2ZGhyXKUlQyLza9Lop+KOQD3qBH8y/TXZir748SjrYlc
yQoQRapnB0/YJYKfyWYRcgzEQkA762PEU77/9VHfjDipinzcCmAm2JlYvvNWtexES+InkxseWrA/
H6A582Joeosa49fHeaM1vRzH8zkKg06MMuab6mtMam/owjg6OCioeKeakne2JseRh8gL498fTAuj
OZ2CMdbbeGzBM2zEFIGHoEDPVGvC10VFb6TD70LAfy5kaZbhMKcWNwX1vP7+d1P7Ng79xlCmd7C9
WdxVA6U3ZmpA2EGPD99Hk/Hrj/YPxxPsQwS3iemBuX8ztBfs+4lIKd3DopLo5dsSVCXkZ6zdSuvt
OgJjfnc69Z33Y+XMh2PkyKLicPHeFutzGdMfkD25O15FdeUbmjbAC5UVuFLobeht81M4kke+NlE7
qX99kyIRdTnPpk+iA0PBH09yXTmtqQh2PwxDSlzHBHxKiak+/vrU/vwocBSs6qHnCZdkhTcPYBFZ
UxWBQDjE4M32ZB9BXgjm38ka/ukobCjJWdLuhJ9UDV5vY2c2+CwXf4KXoi0EEvf/cZu4BCqSDsFu
R0dF/HjGchr2ILtq92BFIO/orHBTABxBrY3xQdz1jRqX32zpfn5/8U7nbcLHcmy+enP6sAhG81R4
zsGoI++9AA+HcHekFMHXHTK70QZ4r1u4RX592X5+szCmxlgi+LTMq99+VDLPUpKQXItkAp7uCHfs
scenu1kyOIi/PtQ/fERuDgxA1OAa0aO3mN897D7UcQ5VWjDcNDWsFPVx6XoQ9o6WRukdHG3+38Vw
/NPnIwY9EHiPEMK8NVONkCXtJPTEofAwe1SlQ5STGSRXbHR++6RftCY/PupEchNF6ziM3IOfnzQt
yCXgzUTH24F9y0TpTivXN4sz1lJ5VxN2gKxupkxWE3UdqtC5gzcB3Rq/deewuaiRssIB/SyArVF1
khKWnILcwwj762vx84sQ9CsTYFxFTHOF9WZBqVJ3SkE6c4cTYAy6LgIUyMSR9XLM0LysspCy/teH
FD8/u1jxeKq0YAd9xFu1TFzQL4lY4w4GAYuScFub/UMP7/pzIAVLZtJE+n7PUnEH+qb9ACwPd6lN
TNS57ayWzON4WMgB11ktPQzYZPPrP/Cfzon2F+Lmsrl2F7XPd/en2ZInMgY89eUSUHSbRImJGBl3
V9gVGorW/F0b56d7k+mufhpo5XCLgrb68YFo004X/fNyGB3C+Do4uxm8JCKVWNnZjf/60/3Twegb
2cjBQl41b1cBdP74zdtwPijAPKesIhnB7AJ2ObSA2SX9+mA/XWo+GYMwR5h48nmdvXnUS93OJR18
PhDuysYyTnvuLB5Edom/PpClhY0/PHKYxrAUsiLw4RDCvLmRCztJFUO+iQpC4j432cMNa0Y5ff4c
GfXSHZtspBPixKBGkylBElo0vi1RXOllsG7VOUlz+gTGxGZp3Qnwt4uPuNk0PFpZdL3IVoa+xPa8
zdkcT+gaTz2yAtAnv/4kP18fV1De0TANXSySb0uhtCIpwy+77mCRM7mZkBMe4e2mV7E5/+uqy3MF
94CDYI6W3k/SReiHVj8qIKQS0y1gz4zP39ZtuDUsBbypUr/tH+rV67ur5LCsYSjk0UcP5QIaeXOV
qqW0RStd5+C1yvniedZ4kE4UvlwaIp7f0dVpl8J9rpWyfvOms97eIo62MmJptDmytq659o+PmVOg
fseEkR0EeSDlAsI/8HJij8BD2tZ6UlHwJwCBnKzBuhPdHcF5PIE2ILs9qghk/paVzWdzKOkiLrnu
17TS1xuLQfL1heUpS3ISyQIQ6cnvyQ7nN02puw8xq+j5CDCmBxcozovUt1dhsBhczb1k4jHKuelW
ltepkzspWmNdhLIYLhr4VmJBx9jfBDF6olvXNHK5MRmFPkx0G+6k1xtXykm9Uz0LY7kiERfl8diT
0mEipAB8Q1BBte58dwiZr8vmps8dMjb0vBBM+twubKCX9AB9W6xB87oMMQeRtGSXDATD9fS+TcQ9
rzr1Eu9xITKaR0MjCvF5kkFOU9xA2bMmD1E3Q4lKSE4jE5l4C9UOo5NX06LETxJGyd4bc3ZFVbvw
3aWF33UpPsn/pvMSFrquaRuetaQqSDKmWw7HLtcpz+g2pQoZVQWGOjN1LpMTFpaivsnjduwfOpwh
5QavCU93LcomP9cLXoeNHHrR7tAKQ/MyMeTGEIiIGW5E91khkF7o8Gbu8sX2qsG5lS2KKY3g4DID
oeYH+ejuqwtcaHlssP8i4rUy52bUsQ90NEjnAGPW52rnNZDSN/RB6Fz1S0IjPCjBjmxxtvEbBzxS
2IUmPbFS2WA8qjrl0G2+sGqFJppyJmWF3Vn31YQm5CxSI+k2ObdLcmK/CktbzD5hDHjLnOtxlJ2f
b4Z+NNZLg6ACfTevcHeJuYOqatSWQH9K/RtnjMR0nYCfJkNaCbwWpI/T0wqIRl6uVMEedmUR+SqR
PplKPomKoSxEcFhCt8R4etadkUrWhksdQM+euw+0Nq2GxEOrekDVCGw/ohGCrG+Za/WV2M7oBDgf
z+OlBecWA3+MnSjx5GSW+5pGSRJtOwgoGIovjxWyL83l5N07+XYWvFZuSusNnax4EkokaIVZFdu1
1aO6X0vP5S5qA087oQqX82p1umduZ93wJxbeadwpxG6nb6MZASkucm1dSMQOtV1Q+1gQRaY7sZL2
PLNstj9A7unAX5Y/FFw0GRN6V/4N49IBTI2ZqmwHKtTsjphQeEzLxtAYstnhxDpE09m7LIQi99BV
LX+IMOmd7BDwdOdqEa36OCjfBtFEoE6en4M6VMOtqwrx5GUZ8K6BYLL5C0Gv3LK4qi3nYRYNXeBk
pja2ef4m4IorlzEA2a8J7QruFYdpDqoip7f9dxTmeY+Wm/BKpM5FOjZkzkQRiv41r3A3OxSyo1s/
FzQld3TQloCWBAKFQ2mailYbHfI+oEG2DGM2fVvx/zsn/c2clOJNz8r+85z0uvqMqeH1+zHpXz/z
95jU+QOGANtMrSWnJqcw+GtKGgR/mMjoqBHZg2pRMN/6e0oq/vAZqpps6SkbqFlZUf/WEvt/4M4m
S1HXYBcJ8r+ZkrJ1ebN2wyhmIKspqGwVgp9k/AOq1nThpaLDn9WGlHp8cVkEB2tITatZUTNbeA27
eVl3g6a/57ElbrxElreLRxLCWogq35KnO3728SXdLyD+PoZmRrZ0jEIfsgsO5I2qI2b91VJ9LF0M
0JjPrXsgWB60UpSstwAtg2WdZyXcnS4sPMCLwaPPLOsscfndm+NrWUu0BQhwX2CQyw/M6/Tbciwq
Bhpmo167oqf2wzA4L6gQY1iiKqzQW9m9T6RR47X5nwlqh5ikes0a57UebWtrTiHOtQqlRBEOt5qN
aqPBiBZn40qadluwwjikpB1mAlRoZl+1kN+TFc2l5MaGzxlsEfakIECrwrPXucHEoOkaendkP2Ay
mgn8wLB1xAI4fQrKsfqAVQ1PHKIvgPRT3j7MTcbMKbGY+BCyhzt3ABpZNmtvsEzgOcF0txCufXLt
uYZ5GqiWGFmyDa4KleZ3gV2qBwfn0q6Z+83c0QL2J6LRqWTXYzUQRu/MVLSpfxJtR05ZZpdE9RUC
2VoZnCgim2uSpvtHe4Y6lnZdt3Wm2SbcgzpgVZFid3B71ohsXoYj4eZpdL10oj2MLHKAiGKy4Vep
2/o3gVla1Voac/Fil83wOGBxWGW87tjt5aN4n/p59L43GnXdTC7p6lVo3EwL4Ku+QgBdQ8LTVdpy
w4I3vCvyuWnXbgh1Y4pke0yCYPxKpbFkK+R4BmR6+glkB1TFtqGcycA8hy0UbeGPt8h+pVgxk85f
2wsZiixx9ypOccaurGzqPmYZ9AIdBtxCKW/t+FQFuIb3lLrpOWly+52FRuAhXFyORhEvH4kqyXZD
mzhHwQgVvPhQJzhrSIFazSDTqLPb/TSL8RwnJYEBZKB/IKxNHmyzDL9McvLlzjPpENL3pxTbgu4N
zwjkl2kNdbc23mex7Z0SJ6W6GwPQv6uQZvwnp6ltohcTjGuxuZSb0O3FmiCL6onrmAP365KTr7Lu
thNzcvAZBoRbUU8tcZiVszE8Yio23K71U2C35j3OnxqqXMv3RR07t+3oDGQHQMi4Iw0F2TX6Q57y
94oENlIhi5gWFqdHkRsEunFMTf5Tk3LVs8KE45x5546Vzyxuqm/LjgUfd9mX0zCR04gb/TxPoz0f
Ekzm+3byTiLA2dc4/rImNIBxtSPDR1Xw9Gw7NRQf8NPMK1FEqMz8wQm7dd5Y9boqO/dxGFwQXDPT
3nXPRGydIK67c5Ah3/TE2lyRrequCBbEZJozlA6jMd8GDNDXkuflHHW4WhnHjMWzush6EXSb2clP
oVeGG6dB9PzoLB1A2gKxd+XeWaI19tMgXxykhg9GHhBgqLSS2EZSPMaVd0v0lbwqtd640MrjZijn
B9Tc1jWBMe2KQNX4mljD4gF3rjwXf+mXQTrbYbH1Gy4kVJsVgfc48trkrmRiOmgltIkkeswOzZTy
m2yjvRq0ajpEPu1pHTWWx0OWIfZvydkWgSAU7qK61vrrhKy260hrsoVWZ/tap50i2A61chu6M/19
rebOFhGB2eBtPQ/mu0prviOt/s7nz7Ibj/3COYx685hdhOIizM2d2SXPytYqcuTkgT+jK0dgjjKj
2OKLOJtaex4hQkcee+9NWXbqkadD08NjOh99rVsvzfqRnLByVSqAB5MWuJtTPm6si+p9oK279xPI
brMWxQMb0fr4xLtluN8dpN0dey2ix/Q/Xlk2wnrRzbj18Yghqw3z5CBj30n5eM3yISEn7TZUk7Pz
oNRZ3EbIWJBOm7G0aLlrST8ZBleGW2GHRRG47ud6uZsvLgCMoNjkUPA9tPMcnhmo5smGhkbxkGsT
gRfKz35Nyy9PY3FcyrDdMhINMKm7SujXLLDbFX7l+ImhTbxxAexsWm1bWLSBIfbi+a7QpoZ5FPJ5
yeFGkASCCyJMH1xptDwS2CEk7gAU51gkZFmUj2MRRQ+uNlCwBwUPWJvzxuYywRyZNrmF4aJQ0Wui
LRjsj6aTpW0ZqWRe6mmrBpnj5bq3vUOnbRxEsPLmN8x3rrZ44KZlZ5KpaB16/KVW7n+akGCeAyNE
cgHVe2fPS7jTA9KvXhdVd8tEfY+pZOod/CVSW014xxg3WZ/iP2mTsj1Dpy42rban2Nqo4mrLSqi6
5JNz8bGEddet/Xw4cxMWdyHxmKfMjdyVpy0wqTbDCGGefBiiG20LuS61ZaYI7HBjDNpGM4mP7ijR
EQojfyy12cbtsd30tdPuuosXh9eh9uWMpk4v8qsdua5oM13buyI0iYS9kVmX200zsNtUXXs9S6TK
F+/aKIgc2FyKv//Wyb+pkyE7ac3Yf66TX5CZ0t7/oVD+64f+KpR99w8LIxlWUsYjgYVG/f9VyvYf
2OdoaIWMYwM31LkBf1XKNgnn6AHwwaLwY/SnGf9/V8reH/w2+l++xl1ZlvevAHH+T4keDDKZQIMe
o4inwapr8u8HHMHo1TUkAbEPgrkqphUk7rXEsb1eqrm9SScbVHH0cQapzPuM/J9nk7fwmp5tfUyT
eLizaw/Rmhwhp/o4r1CuucGJHMrmyOiweKor3Y1ic3HdRv0TcBqFPn1oX8EY5JJQNU7wM6L26uUi
q2tKDVEfLUN+drWWrk6wlDqzcl8rs6UXoSz0QXbj8Y/03Pml92oD1CLBOjkpKuqLdln72SHFBHOX
1P5Wlh2aF5Ud2fM2wZU3RtUTXuK4p+4yBgeSO83GjZXUxpPhuE3PuxoedKOVMX4rcTEB6Xc2DEnV
nZCK/LQ8CT4WeUFKXQe2m9NSW9YevHh8kzW8OYnKQzjMlqneRsE0uTtMTDgIu/xPp1yqY6wFPm5w
qcSd/L3MOrgeIqK6QYm6xhsxvVz6dmVNivm10w1gK5uyOcHdNP0rFTHUNtVofOgJg9oMnVLPCSva
BjhJgQB9GVv/penSEewQXGDsiVKLnVQWme0uusiK/MXprfs2tRlJGNgKn6RG1Q8NAU0rD/7Mh0vL
mdmLePqmJvqm7bloscKcViV7DEgl31rjRaNDeHq7oMska0aMHX31AeRRR3vQhjuAdM4ddSsnCZkM
oHyiK3HpEQsJ9JhQbtrF35p0QFrouLdDxb+bLxJDip3cv2m0XMAKF7oo9LiA9zuBHnsPjPn6UWON
igTQ1CZW2JW/yfQqIKUvYjBoOchgrIFtSeSZlnC5pJeQpwltF32lPrSv7aR3Xxsott2VQxxfugJu
sxzDauZvvkz6LORS9F2chQ90iVCyWol6s9cdMQZCM3/ARAeFBmKcMY4ox4hO6aUNGlO2lRsXz1a2
CZRfOJvAr+lVURBqnVofmfF13+hRaVxn/ecsq2FQQV5eVkQ182uTuqXLBZOMLmSN+KgbV8CP+YaD
V4O234XpFCw91dZy0chJAtzQqepWJSwHRL9YRZGX6VHlxV7uGA0fImIHdgrS0bu5HBGtDl3B0aCh
PhWCe7MdLc7vRWU2yZwmlO24bJacyaKtJKVwXs15plnlxPTcPS3oaBGwjquWpIB9DBXWeQDHT/+R
oJ36OrVZv7cRRA4bZ3vK749tTKBXcwnsPsFz+87ps9l4ufyVQbEM8Z6mVVqt6Yrzx7qklXYrA3LE
HZn1bCaKvMNT1nkTPee8BDLyCAKS6Qz9Va3LNfX5CbLZ7O76OUR46Wlmlaz5/3BO2R/jw6XTx4AF
mERtcEOEGrX1rZHqZ0xaHZSI8y5tm+LrgtiNzD/P4FgVkFs2/q4RlFf1QIf56ItSIVFscrVWfk7W
Wx9ayx5A93Q22dCexmxG4sidZsMzH0gCZ4ZKGBatWXrawbCuGxcjkGsZLWh0C3DcUJI8up7pmd55
ph8ds3AOX7iYXrKhzyLOGUx2Qhck4eU9Updo52eWehy5i8lKCMrdYgtrbQLMfRjSvvuU4c2g2cai
81KEhXoMPIOOsSW5sS05ST4MJ+DGMx2DT1dq3MBC9ES37idZ2FhB0JWsOWXE/anQ9fcTAqZPLfG2
9laQCG+jR50Yv1gdgR8xPoxrZo26/6D1KRLH+I1HWT9ywHK6n4TrbHFXWTHWUntaEWsr2C+Qp3Jt
q9QmGSFIKBZZMR4q0VRnPNsE+I05FfqKqDnrOawXf2dMcv4CR88+RBLMbjYG4nPh+stLENO+JLCR
GOMWnPoXu1XT0+C683VTVrisMmjldWo8y8yQL4nldBsQ/BpPHgaopQW9SIvW841QFXzmUFU7k5b4
tmKH+gXhNGHKJEN2R3ImfYJgLnHLJEbYH2YsnEcSP4hjDslzvx6osG9Lbet2Jx3cHF1CnEmNo0sb
t0w+cL5gaSLsebkEP6u5nQ9Vr4K7glhoUTLE2pquID41D8ZO3BQ5b/OHxbGT69EMr/rRU7uFIJpN
RyLZ7QRhf5UbQ3SqRsnbZIZMnxrNcBZV9Z7EFwGogT13fDUOqX3T5GRqPkdokV+mpJCPxeScEnds
z6hr49UUd+Ic0Wl4rHy2bcVAu/W+xX2wR6fSbM04Md/H1qSOThQ8LbHlvaMFZF3VygXBzsyhJj1C
kEu3H6XSD/60Vw3+5aGxTl0HLshDL+huCzMxsaBCiJ6xL5oPXQKvWbHt2RYZ3Y0usyWE+7EngbOY
zMrc0IyaPkaNogGBtsvNdsCphnI/08ljt0F2IEOLljAKZfZPWFhpGjMqZhpBLNn9ALMHBK3RXI+e
zV3N8OSjYnk/knk93BFj8JFxUKsjted+JSbVeFhUo/6m85ZsMyL8epxDA4u0ysRDLrz+6+go+XFm
GNC+qt4sxofUk1F87CGwXcdFjq28le8tbHcPCWmLmJnIdqAUVDewvew1tsDV6HvEJ3a2cQ85w9t2
lh2Tg+yXX4p+UjetRu5H7mw9ZGk/fghSj5jqMvFOIVy0ezVMMRbSim3JClZtc+cbUX5LzrpF/uhg
Gg9OXoN7h5u+5XQBnHY8dWi6svqYDr2zduvmGc8zmz1T0mesxy0WLHfTZeYHYcXXGWDFG2N2nffT
FLOvhX/EICfqxDYCvXMExhff29hbbwdf7oNh6ldwGjEEmwJaDWpb5dxMCUCEkSnq2mLrXmzixhp6
Fj/jjl6dhfcquSmnoN6T9fMOvotPrj0+FYlRYF1Nfb7xSAvfiGbkPrAaYgUUDYXYDqNlEzsIvyuP
JXynpU9sw63GfghixzsFyNMeawlXcCWJAuHzJP06XzBz+/14C92f4KghfvbMFq+MNNKN0IHCcTW7
u7Avy8c0gz+K2iUrkOGKdKOsIuu2jamM1dB7cL/mLklOJb2SXW6b85Mp5XicO9t8Z0h+cCQX5ZY3
0LhPFSFAm74MH+weGFhTDUzF0JI2R5vou3PilsW4nqtu2sKngh+XTLU4DLiHH9KUdA8ZedcBad03
NcTBZ7MrIm9FAPVLMiTvs6iMiBcRQbSK1Rg/AzJsV36nelbcDlQf3ZG9MmNyHcIk2HkDyRJowbPJ
W5UlAMx14A+e3M0Qo3gSaPGsYQ8AeEASSeGV0Olsmd1cNZMTvDQhH3xslHwkxcLf0WOMMqTagsiD
rEs3LUCIVRCh9aMZeU6A13SgsRJoWHPcHWtnhotvJvNwVNKpd5NlEX7Fz6hbeFZJsPZ533wGkul9
hYgxbUnEckmSDfviU+P77V7PXIkqorRqyg5y2IiJc3FQdpPKmnnb1GibLUEO6ToYguF2agTO6Lno
14DGRpigvnWkyz7eLcSA2s+sb/ktUm2bdIgyVOWJXT0iidytz0OpYu9chIaNHQejzGokahWj5eT8
mQvLjHchTDgeIJNaMGe8Dv1TPcZjoW6qnEbyPAA1XGcIUB46yoBbq2ga3ryzHb/36YPXm4UhH8HJ
4Yd4EPV5iaasWZVxsqN3Pd+4eFrvWohv8Azx/W2G2h0OBPD0RyXa+QpHkToJt++ekqk80Nc8NgGj
iza02vuSfuAnj7flFZYveRAEX17JOHihUJt2fic3oy+dhwx2G5O4Mc+xNagyLg5ogxiqpSF5Lyti
1ZpsXRcVjP3S8pbzYJvk2udlEXP7WMW4Qr5DEFulnac2jet8kEb5aR5VdzLCebk3kkWm27hJ3eHP
oG+emoGwI5zn6eBE1hXeSZtpi/KuiGvxz7UoMJgUKjkSQe5H2CrM134Km1vlUsilAffCNVG8Edc5
m2lwMkP2z6HluOa7tOQrOa0keugTan7G2ylNGo0FbKZ3S0J4imPLIPZPsdW0J1a/675kBZ1+I/16
o6wil9NmwBUySEIn7fycKhlOw2zF1LW+lM71ZLMTddPEelpmnxQ07PO/0Xy4b8Q0HNBhaOVajNOI
5MY29ONOnMCnGQlUVyP4k+FNn1C6M/lxX3MCtZKNVQ9ERWCxu4vHYLCvpSRBY0b8YyTlbeaSj7e7
aJ29tnLkfSlHcVca3tIcpAW6dEzIn8LoTAHo4E+nbEP98dmMTTtkQ+/0y6PlGUx4WwXIKR0GyswG
QmXtjlP/2OGJ7HZLDwGSYB1EK87Hhf0EEXOBYsMWM8Cm1idLaJVrKw8W5OYDASHdZ26Z6iuj9urR
hqUL8ICsjHLt4TP/YJaOUjcxeyNDvztNNljQDx4Wg8H7LmTo3V0Fevg+8w/lPeZjxAoSxQKRawii
P1z2wqXXirvv2jenb+qe75nvutvxveYHsZ+G9SMDc8HtADz68RrkVMiR15n13p21DcdNM7oXgyjY
rv36QG/FRZcDhZ5DGYBalxnljwcKJDu4FkfSnj4jl1j73Lb9ZT7Ps4euLg3YW8e1YhNyMTv926MH
6ISZj6I/Q9n4VrfV4EjzzVnVe5k11pMHnWKTtulM/YjboFYGR/V6n02AMWl/0K8PLt7I37jR8a5a
JnNe4dvhT58d9KkR1ZGs9x14ULhLU4yqxc9b66nKSMHegKLiw4/w74593FCjmhKc5aqrYr/Yk7on
ni5/0H/bm79pbyLdCxic/+f25nU9/dDa/OsH/mpthuYfwgVepyNPvxMAhN4f3NaeYD1iW2hhof6/
bU3HhjPmaSE1N5+e//P4/W2TJgPV05ICEzAZ0jt+6v/870/qf8Vf6r8e2+7N///wGNs0SL9/kDXe
kJwOD3FCaOpw5Tf6ubns+7Hy0+BgtqU6GlnXbKbcys/KdvPPZTWCFr1gPPzCBemRX+geF85HppEf
mJaMExgEQCDQH0YMgn30ki9ML46tZoYkfZrF1/UF6hFVjLfW7YUwIjDFwRzwX2a3nx4G4jcpk2bc
lAfQGMXncYRVMsIKf0lUncFQucBM+gvYBMWaHnAghdLUk1HzT7JEo1C8Cxal0oQUMgmLLxXQlLiA
npKR9P2up0F5hvsCXGUAPfy118SV2Bhv82JgzgWLKPvAhrV9daJ4fKfiFj0Sle1X8ijBt4SxC6lc
Kv/UeER4btRsdwwyYnWLnlRMunk2f/VLw3ioq4zgInId4rvRsKJr74KOiYGy0AOrbefGSrI8W5vM
Q8CWTEPyujRxtS+8qNu6Y5R8EJRJam0HZXDVafwbzReveMT4ldwzEAXzgk97n05FfIWXNjiwTI5X
Zg1Pe0P3z3ssafSRtFklbHDmGRwEkCcL9VOSM8SFd1qHn2dhUuHPgfTNNXwPOFVsEdZWlLeHIcqz
LcZsb1kBESMfrFXhUS5wqjRgriKAqAnueN+EzDVHfziPftnu4zmp97lhdogsMEKuw7QsqD0Wr3ls
i6k/CD8AJ0P74KEOC7IEDVqe98JHa7YK4iW7TwG8kmfFHuF9AU105bHOBjDYap9NAF5T2MuxHzJV
96Ke7d6UbYuukvdVovkYKoXbYntNS/NNoawy064/9FlpJysvUfGJCuwr5d087M1+adONgV7z6xTn
NIJJuKWPnzpL/6mSTFX3URQUL9GgsuvRrtrtEs6ZDcbZG19RC6KZmCSEEKAkOwpj6aOoaO2dqEN0
JSoV0/3Sd3H20pokaY4s0EFK+pjAi9hf+cj1ztPss0+yQsTtn7m61uSsk1KmnFvlVInR3ZiLhHp8
Z3rEINzFXRtucFGgQ3PY6k7uxPaHhutzHHAMYugIHFgenY6m6lTRB1xTdYzVPqLHQEoiuBbAaKD4
aboc4Bjlu67MSx5vGiczAsQmzqeVjxGTktapt53ZlOu2F9EuS/J5xc7Q2hJESWoTO13sjuJo9aG4
rU1BHmrtnMmx2tN+cG+WxonWsykBPJnVvIdNx3kflGpKvSxFmyqQ3IFO1Zq4sOvZ23QdrT5YT+Eu
zZYeg4IstykEQHpc4XQzgKiGgl3mV60L/WqFb7w9el07HKxsKM+zID0HYLbnXnlZ9T/sncmS20i2
bX+l7M5dBkfrGNwJCbbB6EMhhSawCDXo+x5ffxeozHoSM1N6Na9ByarMSgIJAu7Hz9l77fZBuM39
HPJiJkX8Der3eylYBlKV4DkoTC8mRWBVRHHzJIgfoYGECxxpX7iKRks+1mbCqqUyxs8u6KOVZkMc
85csCU4LCrs68Yp9l9wZZv7sEgoA5pwXWxTGPm6DB9vOQ3JKZbz2CQBcx5HWA7EngW9fzzZe+8Re
7nYxPKGhDz0NtNrBKcx5o6c2kRZ6rD/Y6DY9lqeEdIXaOmA8wUgN63UkaKNBWcgYniozHk9TBpnP
SE2Tw5MVe2GCZGEsQ6QfXes8ISHrrsrBTkcWKQpQWg2sHUhzfPFZm8cCDVcSzLdawttL6GOMmJO1
MQmYvxcz6s9OuKSmSQHuPWiCcevrc7ducy1bD/jU10GUVDfneYBTZwsJRn/VbCQbpBSgz/SzmYCD
qt1kzRKZiuw2vB/QB238Gbrd2g5S7rZuxLyozJjdzxGtQu650YMaQ644rkNUL6cImNotp8XhS69Z
JDLmCdJMuk8bTZW5Rx+k29aNyj4itmBiRqUzrQN+/o+xsra61YkbKxnzW0kPD3VkoD3hi0mBWZvt
iyMD89Gpxvy+AuSwmZgybdMSTE4/t+oA2w6iM6b5ZIMJNGXRDaPuMTKN4qhw6LwaDY+0YVTDCZxX
fg30vtmPwpK3TWMla/AiHW/VMD0GMsPpnQkZ3bS9i/AALcqpsVJ/r4VWvO6p1bzCVCyZaXAr3Sbe
RyQk3YmkcxThicoBNWYEHhmpKMH8NpyPWlqG24yz+k2kp/77MAdVtspKq/nEdBuf9iz66KT3SbMn
8rKCaiDHt6ztkvVslPOT0aN8L/3YoUOQRgx4nKp5X6E0P83weU7wkwgrTG0t5nmrwgcLuvmjHvQ6
SdpxSa54BS6QrMbwQ1mVDVmliHDDpkATyMJU7dnRx9cwqdInIzSdZtXZctwMMCTWmm4yBOKpPCJi
vW87Qg6RHxmybT9qlb3M7oEGy0T7OBGCnlM+O3X0gQPeEu7b4oFlJ0o0Fd/ORdjrGEq6bNNJu/Im
ox9Ja9bG+YuiwbsBuYDKh4mos1qYIgzV6oHGD12V3aBlT8M4VrsoQZDOQ+of+ClTj4FZem8sQjkr
d45dIEqvsus/jDH/rY9/Vx9TomJv+uf6+Opr3nafk+knnez3v/SnTla++5El9INM1n1nUTrTWTm7
7jD4/rtKZvgvTd39h+E/NftyYpMcgrTlb11Uxb+qki/NbVi4NMr0RXqAp0vq+oWXC01AWKvZD449
vOZwbUBGv2d4MG+NIW93UUV10hOQIwZEjpUJFp5oRJck077dQ1Ptd0Ylqx1CL2Iwf7iNf3MMt/SL
+p2PxpezOCjqto4O4pLDPTbWZCUk7x2c3iqLW5dt41YRWMBnwAGYEMNDirY0hbmJaowDtIupv/pm
nbG9+19Unsv7RlqqqjclbXbnw1yK4Aa849CuzbCRL1kImK6GEFzODFZsocCrEKhFq81SjfBMrCpq
T7bs7JlaksPolYxNYOABt0nq9+HUB7zoIkOS7lppBc2zIfyDdYMOOhpTbOg1+RZocePNWLtPFdg1
cpPdQRl38NQ7hlpluhrgAjGgTnVacN0QV2/ZlGmEtxq06Ppzuy4i7XJCiYUsa9v7epgeWzqGyZaU
eVp9MVDj+7xi6rH0AQnpeiaiRexw+NRHAq7kruuM5nOkhfWtm0FJtplZyaA4loXdPDnnfqM7Tjun
IdbC98P+OIpeeBEsE1ZYBJ03lWlMp5wGpojQT6ATpaspaG9qS59TRE1ByzNJw4+679MI1TpruAaY
Lu5B39EodcKp2QxRT5vHmR81wmBu64kgkHF2abKC4JDBViXCfMMAEK+gNjSrEVEMlh1Di+wHTSXl
Q48Tdp35Kruz+tmhowu3MrlmE26M93EAPW7EJHE7z9WGskzfVm46PE0ag4I8xMaCyc7apWmWb0tm
W8la1jZuJQruzQxcbz8afrlxZlesjFmrKPXAflA1wxSpAvueu15dYbqqtzFBTMdAGu7RlbY6hlJL
A8/PtfRj2crmqXAo06qBiMh10gkOB000wz3Wx5PRa86XwAntLbC/aoMQGo2Bjj4jnXq4KVHR2ivu
u7mdq2GEW5iU4WvCY78y9HpctzxpTPCD4UFz+uGG7mh/ZQ1Nt4HA6O7MKkw3rQBKiBva4Au1xkPY
ZjVS71lfBXUU8kiTWe1vBzbUaT1Xpv3R4h9ZizEVK1+53cYChPSqB3EIRWiavurgWa4r2KtIFuh7
mqWJMp4Ouf3SMNyCbYyy8aD3dlx7xWBM4XpuQbvuejQw5LNYTaOY7mYOkSwuaAmIMO7kpUEaoC1p
fPFkYWVyQFuk7cFlinAFjwwU7ch9PPQO5mMSYtLwFFDRXYFV5e6ZnT/j81pObn2In0W34lWufPMz
/EFmHBHe7Kd5KBd6ictgpJwrPGfI/LdG4fprXUXL2xWqCk5gig9mtyS7pcib3eHeySEC7pyksA9J
W793w2F+c/p53AAZMg+uzfCZ4xsn4lKK4oaVcHghu1jVq1LZk0ZTf84lw8Y6ASA45MMEd7d2PuW+
43aeVdUjJBkpVX+DdBwthqQ2WWU0YzDWMePMThPhJwtGq+8PRWAzvaOs4mQec1ADsV3YTCaiQL9F
FT7c27RyKYXyEGAbY6T0Fg1MiQJeEYpDyVMIqkiGZ15JhX5jsxxcZaGbRnCX0+zZp6dIhK7RMm1F
c3PtL4JpQVpO4zmLjJpOfPHkFLpgANdFpqctgmv7rL2uFxl2jwzietCZhEX6kLwvF7m2WoTbwdTB
NS4HasyzrttqkuRzTDgn5fhZ+c1R0r4DTZGKjzDW0YaPi0xcPyvGnbN6PCgZi2+BI7lf69mojkhu
hpdAhVgJFvG5XGToFPoezClB0tEiUtfOevV2ka6Hbh9vnaGvHy2jQNlOFFV4D+RB/1CQQvbgTGMm
9zDTgjuc7yXtxKlN4C44YfOpmLScEBYAttauXiT1SFSSV3yEFWnQcuyvMRz1aCTkYIUgPxU6zIS6
8Rb0HlJ9qwc+jKC87b+xvqN8F+GwrRy7+USoGZcIXI0AK9bmbTwZ8aFOGO1XAxYB1obxEC+2AQC4
kj946FjneckTBLOrSYPysepm0ujcs/eA8CHnJM+OBGfSF3dCg1EBRTDVH3Og7qpVtn3+2fZChVeZ
VgsOqQZfspfOBvrJ59hAWzsosySlejSekZyXh5iJ251rhJKrZp/1avFQuFZi3I6iPMU+S/9spSeC
UHxsFQWpfiBYbUuMa44DwoMUUELANOObCRvszixEyV+YRzyBvOiwixd3h7X4PHS9070snJB41/xB
5Kz4FC/ukBo13ZVpVSbElDLEPWK5/ed+cZQkpFZ4NbDf3VKXvKWL84Sn1DLWYEcxpOB5w5xCfmB4
aooeICfbKThBtXhdLCPE1CIbuP+bbhJg6dHAu8Z2YvRbePCJtWc7btt8Uy2uGfNsoJnOZhoG3Bhr
4rPJpj0bblToDK95gyJpV54tOR0TwZdo8emg3+TnCl+FGfe3QjOTh0mzH5PRt3bx2ehjmDWegLwJ
jWtMoViBUOPqt34Ch5ESq/g0LZ6htsM9hJ2G38s/m4qEEeefDKvK+DfxHOmL+4i2ENJ2Z/EkqQpJ
SMNyxlu0eJaCs32JugsrE9lAHGGYgSavtGOZGEkIbRPBH2vgiuUxxoDh0BJSgsYQVqBwTUr9kG9E
UWUPQ0icQLEEC5g2EQNj2pM2YDdL8gAKPbHtmuYhcAc2a/Sr16FVhHieeMVOEf1fy0MPjQoathyq
LCszMSsww/L8JfgAm0D1ptyq5BQzC/eIEnpYCkxLrzeg3F3OrDPDama180GdsxXcgpiF9py4UEYp
rPoReBvT7jjuTxWQRFLLz1kN9Tm3gfKk/qCf0xx6Y0l26Nj073lryXvQeAb8jbvEQMBcYyeAy5pX
+6TifnojicQ+W6tJ/VWkhnocR2IlinPChEkv8ErVCQtt6BrlThV2Gl8jTULmxdKe4SxR43Otu9UD
zhfnU+WreFfYWFHIh0sAM0t/ofQSs7armpp2rggyzViFcmbLqJyw20VZKe90iNzZUZWRi6XVKb+5
OZF7a0ZM2gHlaaoRTdiLVWN0qANGbDpGe2WrSadt+d+xR95G7fSbY53OWIDBwz8f63AYt+G/vNek
aH8af/zxF/8cfyDEZkyBKstmXTKZov5b2S01853GxJjRg6XOLsh/H+5M9x2ibgJVTBtYh6U5DP7+
HIFY72DawGLhrzES1Az5nxzuTOfnIxRZSoxZHNvQHY5SypSXFBkOkmVDrhvtEWC2wbyLGrxmvgdO
Hrp5cy3aBYyeOXSuyVCJqxVjnvlF0MlDxxOxd+LUPfl89s2EHWQbTMitHOAU1wV9/bA2uiMZUmhD
U9e+KrpcPGKDJ88tD8RVGym5AvBoP/aqHN/HCmj1qitigXehohJqYqjfDclm/Htyq4O+xCPW+2gZ
K15XPjcvoBXskyi8thnKHMll5fRR+ffDXN2yK1G7SG1l8jLtqwZXsbIV3Dzed2n6ns/hwwuD6ktn
ycHr4pJDYV/HGB7z6dqvAxrLLS9Wr30OBdJ1YLpi48cxwbTaPO+sogL0Gug74kDzD1Ro8aZhE/Dm
FOPkWN/WyWRuQCS0r7XeGtvUyRSumbLeG5nN9TNKNe4Urg9MeASHd1QiQVjQ8Zbzvkx0l/zcyWcp
K/s9KnQORK62rppk5nAQyVUHYZgQx9LYAMYzcOwIa+Hoj6jy0wa3jnMdShc5vZE9UCMQyuQ7Ozcj
Ws4kXtNPdQY+RJajjwg0T/e1Hec2ubbC6dlq+2ndt8uXKJPWazvD9wgwDnCVCXsDIfIta1zPGMfs
WKKGusJiMq0NKpez+DJKy601V7mHvl3Qg3UcFL/23vXdI6Yjba0SNqJo9gURHVGBybCzNk1RqpVB
z3yrm5DsRZ9NB70I4ycnLucDQ/zec5wBt8soaXey+3pY20yPYRf6J0WyYWejacefsXHJvi3HktGb
UAfcBEywLKNC/45IxGBeFBod06SKUUmaQoGMq6eisZ/VOJ9inb0r6G1zKzDZbaQ2hzunzF5nKDkx
rMBdzBiafZL9UHMxpFW6+9Wclxi+3rU8nomntBlX9sAjoerg3gXEtu2CZIIGD6ovCQjwVZIjSpPi
YWutQ6XH8tNEvCMJqc3VKJI3bKAjIREK/RLjgL2VkwQ6zzlxkynPQpTHlecEJbCC2ew25NuOa4CD
lZfI+qNo2mwJPPY9xFb9uoF/QZIovyA2SjxhMUc934jf17odXBNOkW0N9bbEcsLKQZWKeFo8AU/A
AAHXAQ9DGkUPWY+gFbahtiL0eNqxA9VP2hKjDLk6eZhBWDPImK+blngV/I3DRvc5u84Jpb6la84m
H4mhbXWh3SGAnDfanGQbIEjUFBxavbA1OPY4sX2QGJHXADv7vY7CsLV67BJC6zyhh+V7cBTcReJP
PJ2CjmY6aaDWcNY2FtG6sWLtPQGK2qqlkuHNreYlK9lZu91Mhs+c5I+JMKY7v+y0o2ybwcIaa4eg
bkQCYb5U0HnbzKbKoYQypoZeiV13J0fkBPPa4kSGVrorEliQZvKGEJ70pFxxAK3IeuwU7Q9n5n6W
c0MydZjGMGu1b1RNYL7AXB2BoOA7s9tHTUWHLu9tqPHgMRl0PNh+XG0GbDGb0OUsP8NF80xzbDkS
u58J6X0g8uTOl91d2kE10ABG7aZIfM3MedqmNXzJ1sFtw/+/cfLdYE8TJNc8J55R1OsM3bc3+aQK
UOQqJmfRa0VkLGEp82PDBHLvLFywNHEEJXHXrqWmpqW9oHt1XvFIBXZ9PenOtsv0V7cySqyBsUFg
S2M90lQKCA1AgT4JxqAyBtBSfe0bJojOPPk3Vo1BXEulPHI2RVeW6v0GMzNO4TZhpO5mah8iuS1S
/ZNtN6c4MONDY43PaoBa6kRk2oHCtQ8dSLMn1+1B8tcDwTbA/8NhWPd+hIkySJ902V05ZlvflEo/
RkWdYRAs0uvUQf6p1XcpHmDPN1AS4nL+Vted5hHaQZjt3BU702RCgno25pjVpqeJtsAOwS5RFIbP
PI/g0sYICZtR7tNkTviiczyPdowpXZ+qbatSgooUV8zn+QkbcXTXJPgjJJvQKPwR4rDL+yyDdFuj
K19pmfVYJgiy7LaKrqaqOQQ1xuue4NpV0FK3piHbC1pd+yVNxo+D33V7jKZfig7iQBik4bbT22E3
5qPYBrlvrWmkEnaZ9ncanaIVbdblgw/XZdVQp1p6SfvroYjnYjPY0ZY8eSxatpkeZCg+dG5J9oYY
vxhRSdMIdfNBwWxjrYlqqH++vWf9jY50mIZdIFjlOAZY665mkKboBuyi2bC2gTMYW6SMxno0S7kL
nPjD0EfWgUnv09Q2V03CmZDu6TdDlM4xzVMfiW2KUaW05ZZDoNpIfBPUs7iDCo7+KPpIcOBoX3D0
nBiYvZHOkrfv4YxihOKZFTjc9yOQcc6lTJtUMTy3JIc7vIoVSCKwTjx9mbqFwuUOhJuHRCfwkhVx
ZjXGnhSwqIcJVEJleW90DIltzs44J1SwsZqC1TvBCoXtOFlBbrMeOB2gvQYWPQJqONZG3zjknzJy
c4hMw7VDYgR5P/Vc19f/La///8prjrS/LK+/Dv96QYD949QEE8/yl/40Tcp3CqgYpbP5Z2bCn3gR
x33nUDmbqItsgJoQGf9faW29YyKiMDGC9DSU7SCg/LO01sg+dA0LNae2jDuQK/0Hc5NLoSa8PXIz
LU6rGlGqtn0xNpG9XfWaFhQHElWwSyV5YN0a9VDeoLtQ3g+35m8mIZcq1OVailnQcowwaRle6AR7
kOZAJmV+cBZo90xn7IbWkvvMCV+dqmr+HWbtUpfI9UzEeWiJOdJgSb34bjVhZ05Jl+fgZAuDfkBB
4YOpJ4+7HcFQYq+DF2WMSj6xHOnfhXg/ybh+lG39hdqyjHwcjJtkSmIXuFRfVmhtRhqp+WGu2/YL
rnHsWqns1YluwfgATcN9Jof7d1/5b24xzhqQ1rBnyOdYHpsfHbBt08b1oJzsQOzveMc8o/1CrgBW
PDcCLBX8xyg7siigunEA5IqLyHgZ/f14wVgTY6k3tbtHV4SXTIGCnRZ9bqYMQhD83n759TN0GRpi
spbhI15SbVHdwS3m9PvjBUkx0+YA9c6+K8YqYbTtA/FiaKIBCRjMxXPZRfJGpTSpnCmRD1Vv5c85
u/SwDu2EEUPgNM5DO9HTI2nM6tCKM63BNOWOHydd/eYp4Ljws3hv+bwSvKfkEdQ4DC8ywR8/b06r
nDT2tttbDuEIT4I4cv+qCVJ8rHhwlJdV9GaPkqQTJmdNa8kn3sEJ3QzqVZ1gQhsHsDIO2UTiSWA0
qFlDO+VZanwdQOECyhyjkPzwXtMxqeY02G8ynZ4wrLOF3tnpCJ5Woo7I3ph04OEl87cbUTsAQDuH
FAH0sySYtAgI/MjFizzXfWG9qZ5JvEdhPPYI2jkLXNWGNd4BpgWXFZE/7u4BsokPAFVd0sxrveaR
o2qke+Y0aAcKoO+hlF95SpdcPBmhSLjmkN6b92M+DZBJQiTJthVTAbimSSG6LATIC3lPxx4anxja
8c5lu1bA+qvypYt1wJC1Zhy+4+zGvi9fSKui1GgacApuNbN8jVrsbmJZW6+q1saH7/S1s5UVf+z4
ICohn6y2QyE8R1DmgH3nINfd8QVeHnZf25S4NM+ZC51Z803LhEFxljY4V9088p/1OIEC2KkBSmzH
fUQPzn2rceV28O4fZlW5z0NFCootwN9FAW7Iyhhg1iEaw4GKLwUxcINx/OH7sxqCl8F7aURDdx0l
Y/MFp+BijKVUetGnvmx2zQAVH78xxpej6/hRdkgIesnala27qtu0ph5+CPsBy3DJeuq1CFbGTYZc
yV71uW2+FvhIXsKg5OWvMvfkQgV5LnGiYJQ4+xzHpBTfLbC1tsTWGGUx3nVwHQavtxcDLW93+fI9
MSIogASDPzrHjoTSOHRhjOZ5gJD/EA2mm6IVROZ+vv+cFqy10YFoCjG1eK6Cr7eucnK6zv+f1vfz
dQYjkXVjBtjDd70PMTt5A3CbbXfW1uMbVlSmCey6pgF4dSVRMJXrvhk6jxkA03sIQLI2Vi38727V
pkqLb1rKrtJCM8ao4pGURJgfpN6Ofr9NY8bPviH4C3kaSe0wyNahPRpkArZe07SR2BFNGg9eFcB8
eyhREaaYly3ategYW/+kozZ8AauMCGrC7cphu5mju2ES+vCh4faHuwYa4K7RQwyYs5YUK8EpbF3g
6FwJq7e4z81TafghgJaJdnnuTluXGUcVViOmjMrc0jM1biwcauu+H/Zwd0ZU48X4ZGddccbz8rOL
6ca0Ehu0ZCg/NppeeWU42auWTOFbYYctnfCq4WhLVOEnVIUuEkajGQxmOdF41Tui35uqCMgy1fQC
FCCcFeb7wRcmvfLGziLniLHLvim1nOZMN5vTSeZDhrx2XBLMiTyIdnk5t1/cCAGC1wgEPB4Pt3tk
LDzm8PL6xl1Jx/GfsSu2uSeF+b4NAyzhdfWaSye+oS1smYCHDJZsRPU8dPWZBT0lVvMllPyPFevy
+MA2x7OM9AgqIYYOdmlMO7upwUtiydZ9JtawY1YbLEQ9q+/HhzNTnnGrvClNWb5wYB5xKybD61io
4Dm2bBbMQk+egK3EH+J65sU6p//4WgNkHOH1QZWuFq5cgqM8ttHiybbIZ8E34WFNMYMtvSplHa10
1twPc1PKT1ktBCnKpG6oA8292WDeXjbjlsl+nRxRdBtvc9Bb9qbOk2Pqlv5pEGVwV2PwOwSc4Zww
rJ7Ttn6dcHOx+kfyuckYu8Yd94lsN9Z5q5TREYmF/qkTfjes8ZyRtcgg4xEzQuJ4xIEcLKMTvWcM
lVy7oSSN1i9qtXVzPcdwqY/ddjb154zOjVeMjcmgLgsHDztjBRgtNa1+lRmQZHIH/UKKtbDbluxY
9XsrdHX/zVVDBK63Kv1iOytaDiuy5DpzTRCCOGVpxCQAMSwZta0VfJwcvJGRmatbh6M0k6gWU7os
ayBCut+8kCpKLVK2ljoZQyQ4ivb8rJVLvE2UNiaLhZkGNXFPzXRg4KhIHsY7zhgN1Kfg6PWFjhLW
pTPTOLGh9ayqjielCTQFOEEsj1IXEMFHm1LeGLrLWlrZOmv62YPe63wauw3dE1gafPwpk5eFpBDz
mc6o/IhhICp5PMb9alxMUnZaRkCC9IT1vu5x8IQ9+IaevI9mR3NPndwyFetYFVw5ZjMhLdLBMo89
mXfJGkBmO9PiQsHnvTt7YWbkykSvLsskMxRMSg79V5BbgwZnvB1yRW8ZD+Np6Dpth54fHkHdiuZL
DoWopFda80Toc2W90uoeGUljI/OyM8KTlja4yrS1HCqGiSPK7vvH+s4YrUKUtkdfLBBbpwZ4UKUw
lvupG+/anto3UyRNyDnNSUoa9MUR2U24mq6lHUC30Gq3eBn0qgxvdQTw/FhZyXcdFtCcl9NedR7M
qkwbdgu7NWG5gbKomDQPSusdpJOjSfZBsnTKo8qaHuFCWy92CBgBwqxA2lrWIybFtIuXuBsZPA3O
XEysm+TPmLOhGtZFRz6mhdCOZReKb21dubuwG8hc5jNT5USCXCd9HNj1VFqzk1duK5+MmhQB5CMj
rI7aMcFfBGO03NGq4BeHdsu23pWKXCiaUm3+6C+/aBwb5ut8hg2noKduhKw4NZAHiYLas5pSRLSY
LV97lgxmLZP7RGn5aBuR6B573L92uY6GMAjVQwqgzGarKl0kn2yN1RThX41EIJkiUC3TFx5aC6+Y
RX6ahnwk0ghEXiN1iLyWfLkVnbPFjOhSgzj6Qrgy6xAVRtuvOelPG/5TeXjB3WMaz+U1P3/1QHJ1
eEj6UHwEmhIdQYf4q74J2Xomle1xvEvIBoSZpd2AkV1VtpdrPpQXx70yJ5o0VWbcB4olHfxyB8Q3
gOc7SwzOCDYPaOUC+kKpfMgJcipWlCFgBHsMpmCR21VrZ8k3OiHWFliJv3eJFCNnqMLPzBs4rFkV
vpFI+U2k0607msOB55rCoEO54baldmtlhHv2iJrtZsr2Y4fKgNrYfxztbtrGbKJeXOG3HU3z1tRa
83rUu/yeX5t9OR/TIztftjMBn6+A27Zrldlk7qbXXUKimMGtutWmMngP7bV7qQvduEFZERdrhgsU
kIhRQUvknt3fGZl8oPLLN7oYtG8W+PSjAdwsijCauhCdV7kzQA/Yi3j+aqFPDW/Mjld4a9HnCr2s
0xALURH0oIPZgWktEqnCChJqrBDsV6yGbVxcdZUuDrYxVeV1k6Q8pFhC3BPdXZ7Iuff57XHeQFOf
yNiO1j1lt/frY9Ry6vjRG4gp0OHAQWCIjvZSvzz2M3OPXXa8cl9a56K/H+l41cDhHn59nb+cfriQ
pFEhLY79gJQujofgp9suLtpyn+Y2i3HnOBJEIgZY2DDET9gkR4XH83L46+v+5ei/fEFtSZzgZGpy
Uvz51MWRPDXIsC73Y5zar60ggSxrRnylgxOyfpH8NeEPYNqyrs6YmF9f/edp5QLHUhgCORXzgvMh
zjEVPwQZIKqmeyLtYv899BBMhv6kllWXHHZW+z+MgGUNV2WBz+jEy/1hTPyvzvk3A3G5RBn98Gt5
r+3rv5A2M0q/ec2+/u//nIouav4CBP7+t/4UOqt3uM/0JQjmu32PLsrwtWn/939YaxmGOwo0BY0P
4zsC7U/OmfGOWTeHfBtQt0OmC+/CHy07nX/QRX+NhRByB1rB/2gably8vJIXiiAjE8Mi0mkH99jP
D3c01UNXRLI+WCg5yNaKhXzQwmq+Vn1UbosqVi1lo6O9NcLxqTHd+jBluX+kC+Afl2Qy5suOPBWa
ne8SkvsWkVVKGx0B65OCWuA5YWlBbtRady1hEd7KXHRfY8zXp5Gu/zPw9JZpu4rWiD98LEdmOHq5
7vQe0HiAG4FWD7s2E/MeYY792JEs+htr80WbizuAiV1ne9UN7inL2M93IEa9iHK7LA9oL+lK+I27
Q8Tngi1vl+/F5/7hEfmbzuVFl/R8PZeAHpOIC0qNy2wlXWDHC5KkJGaN4+MYpG+L04jUFu7Br690
sWAuV3IMXdIxpLcrUWn8/M1mrBrzEvaFpRMxtI6eaUkoFTtl+NEj8Znmbgpj/zer9N98vYXch4Ce
h0mxYv180VjToawixzwwXp1IKlyglpwsHcvrRqueVr/+in93NXiANg1xZdIbvWgDB8uBIs9ixj7a
YAG+r7N5O9pYNG+71H369bXk0uP9YaNb7idIQi7iEH4B++DiYmPClCoDK3+owjHF1hYibiefNCs8
VZPsGU7heNuhbz8NTdLv59Rpyw0hWs1//J3pktKPxYjv8udl9E4qG2fKOiSUVbfM21C+NZ4d+P6T
a5dAY3/9pf/6DFlEBaNdI5MFX7J+2fdGOW60tR0fSjnP94WqYbgI3mDS35PwMHFqiD0ndxP1m+v+
9YddOt5SohxfEoq1i3WJ4M0hCuwyPuRD1TNG5NcEbzYMAJ04qP/6O15ci6AW/n2XYQKLKrXFZVvV
jMQg+9CNDmRGBF41Tk6yKrV6ugqmwXj/62tdrLfnay0jHMaVC83icjvnLIxoFzHjYZ5gkHgF8rlj
Ghn9H2jSfxwZXJYNy3eCh0nRwCLD46r//Bp29HVruxijg69ZfcyUHoEtQaM5jrPesB7DKKLKHoFF
A8cDgOJvkB6H3yd9//gZLp6d5bvik2WhI0yCsvDy2aGHmHBGa/kMfRN4pewrBPizCK59Y8qORaDQ
d1O4/mY9vwzuWi6rswRRrSmir/9C7uwDG7kj+dSHEDHFhzq2syOF3XRTxnm4qwEwAtwQxZhTWyMJ
WfvwTPrDYOfjF2zkVf25xPF9TPwciLImsqMf+fwxx+L+10/C331Oix8G8ibVAYkAF69Wwhh+IHFG
7JG+2W/TRJt43QMH4idK7cHe5wJN8mqKheMgSx1AWzGYX0g0vn/oksK8clvXP8CNN25cYTfO1iZa
MvaK0HX63a8/61+f2oWLwYxQcmylDr74qJqbo4xPh+gAkYQo1iRQY4Jgpmk3v77OX99ExZBtWdzg
jfOCXKywkUDB5IsmAsBQzPcuscrRKofidUVDx3r89bUul3OeEwXKBEMV81LMY5cjvUk1VmOOMcs5
Q1kvUH7vYcTs1imvCr5YaK7lOExXEpDei4BDuEPj2/7mxkrtjK/5YVdZPoZBcxl0LEUBH+fiO6d1
KXTeDH/vdEM9HZxUZzFt3dEoD0FXzvfCsLU3K/SjdRR1GZEAJZ1+/nuCksPONIsBUO8fXfrstF9c
JlFNFZf1ukrbLlrrZCRdc/oDtBBV+sOcGv63Hqz3s5rS+RrOwgjMoKrtxTWbHHVaklc9TVMGC9mg
P1jo2h5hjmj7Vip5CnNz6jytjKDCOsN8PwW+0a1SHBhwdbT2NfUn7W0WlHGNKCfmhBByv2VIK0i2
yYh6X5Ed7u+JFTAbvEOAvFaGwzACk3WCriknQ+WVCZD8nHeZ8X4wjLJa0WzPxLoZffNb2rcmDaoW
TvmmoTVxHRi82abF0iLrPnrrQhbvogmsb1itlA6/kbIRfbKmAuK4XVoQTMDM3WBqFEO5w4BEOZ2+
QWrmvKDYrBVwppjnjbefM3hSuFy+LGtxr3QSezAZdM7LDPPcGxM3uHaWv9ug/CZIwjLMDfqThtZK
lIontzCma/aZ9LmqpuH2fHt9e2g3OmmC9yUI0OSIfDAND74MbOOoa1l4nQToFTfVHMZYr86rVScn
xE8zK5RaQuDzIuGJLLRRajQbUU12Ucm9mywVNYCJtfDJHCPzQ1drdBH1QMvvjER3Fj81/w7ZY0hG
WzDxTeVEb7XmDmQX1vUU7NzZXUQrFpsCAyTjvQKdqEMX5d5mhh69pUGmbyX++ld8F5y1eWnSesXw
aL63Bpwf6zZhGqz11XhLUHxP0rQpo0+p3bI0wQB/lpMGlNBYnsNsKPyjYioSALNVLeLRUVLAwDOb
t3mf8iw5WTtfB//H3pk1x42c2/YXwYEZyNeaq8jiJFEi9YIgKQlDYkZiyPz1Z4Ftn2O377XD747w
g7tb4lCFAvLb395rz3oVLRi99EYNk3msAoskpcGcu4MhRxy84BcgFlXMJtkOXGB7aL/tWzanNuHD
mKs3kP7y0CcZJJ8xY2IAf259DWEdrFUWvr6mVllcZFzuhSG5ApttuacGHtNTQfwtnTEV4TIKttpq
+kcqUPOzHff1DWlCfwvsIt+F7mBfHa82FySn8ISvIvmaqmjf+GsbRVjLq+a7bZMkiO4rEx1lblo2
VskC9K/wXmMKNlYfMCAPSIsEw70du29DCsd1t05Y9wexsIf0e4q1t7yq7jeRT/c5kL5L4YgDQr93
ACXSXAiwYgC2RuD+1SwQ0fi1kAr7bSZludOTGjfugB9MBf5rTwjzSuPFfQ/JcoMva9lNOva3PHBg
VHf5c5iEgEGH1r0pqS2xRxlsW1XPRykqG4Kgs9I57HAnWlT/XGRPQ6bfReu+taM17Aur8nY6hNfg
IgidLTt+YXtGZzjLX+CWS8xTDfblj8rzL8iwDjDrnK71HMa9H36dpuSmqaP0RbWuQbjXyyUrK27A
/npGqlx9F+aed6W6oHt0UPcv1hTInTHhrYw6uvbwPCOHCKxNnZsOv2BytCftNMW4qUFrwyxMPRrj
Gr9xNomVRrdjAKqanAPsRAJQrnkOQIoeFoRS1qCTK26ga3T3HJT8bDeHa5KU3s/nvtXpMxme+Ytu
As4PzdDG6Qbvo77KyHj7pAqjgy9V/LOo8v6Mfrucs04AuKX+ybv2qf0EMHV+imat954Zx/36/IEj
0bRTts3brnoYFCmZiE9aeSbDy1HAlU2y7TVnERmT3pR1OGwh4ebcilgMpn7CEyFKRXRizWIOI9ff
ruKYd4CMTfhjnvCS9a1b3Q+2+oY7rds5JE/v/M7ExTal8QZPbyj94kDIF4JFiy+0LmTwYI/LcAij
Mf2uinS+wa+8U3kyX4p5tLFuovD/8IplwGlYu0j1E/fJcy367AI+gR29O8fDyUwVF2bB2YERobQe
S91HrJP7F1C5AdxSNb2ObHd+K38BQhJCE/7qVkH0fZmNMEc7YKejxxkaTDNyHquX7tQaI+4Wqwsf
+5Loptc0qzTaRScmaHESiwOAs3XG/lfrxvG+nQt96ZQHa9G3rwKDZbn1hXOLyl1zhKkjqjdK8Vgm
Hap14iUewz/oRmSK3vlq5fhLHVWKC28qFSYBICEewoQCamvyPxZjD4+RAqW6YO/fxU3n7mIcQAmg
EjYRSRoc58gqDyEEA9yFuf8sqex5SNXg0QniFGf8De6VVxB1vJoQDhPnOAUBF7aoryHywTaphMue
vQxOxN28W5HSQtO3Bmdq0Dk7dizNsaSB91CaIX4bFb8SN5pu3WhDdaRxe0U1JkF8zChqxck3rwb8
IUm/1fbi3Y123NzbJuHYL7wm3LSDVdR7La3Gp5togrAt6+iVzTAiDsZ/LNsskndJgr9SAz38pRjH
b5U3j4/Ktxb87K0gY07Am2e6L+Z+jeoEd0zs7VFWUcQA4DSX0tGKT5eC01tU5UMbBuo+BtZ+8roh
w/Qt4lO1mP48xzXITSeJb2j0TK7FWMdHP52qd1kTJ9yzA+m++ynAzjAs5G8RVHmybSMyynR/oCUV
Zf8tGtofaLTLnvUMeToRGJdUXWKmN5u1HNU11mCdU0iNkoerrdia18HOL6g+chKdw6Ymnh6M+V5W
7sdsiXaXjy3NbTjoBhjIqb6SZ23eI6eeLmYpiP8JnoEkkqiCDMDgkERVD449De8FuYhL0ZU8NbgJ
YHbAGu9H2GmelT3WEfRKSHj+xqanM/udWdTeKIpkMz7YqmZMUtbvLsxq6JCte5fPwfhsQVB/9/s8
hqUpelYI9CuVu8U2MRuwAKRWVGGfr+qTFfrs35Dm030VTt+1Aldiy6qDiDTRClV0a5R3ls6WUxQE
AFdHO1V2qBqAqKFOlQvgUl8tJ78u7CuNmyVcoJlnBtlOXW2x1IYhp8smGzdO0S0nJ1nJTz2NUDt8
JA23M23SL7FXuHq7BC4gK7HwGHFQh7guWZZu08FYX/NS2AdB4Gjf8lA4gt5Ul9bk40fLbLTGBctd
bVW8Cn2c/0jc9VJGUbKvWdQS6oiIg59C20u+6cD13iy3tX67sBBuk5iOlqA2xdZp+LKLv4hnp86n
jTsGPfhkP+c4aQsSJvkzB+OEwAjmfygnT6H3LSXEvNGG2yvLEy6q6psd1PbGjq0nPB5yU0S12dpR
fCASEQLZBZ8CW6jaLCvgNmINv3FqnCIxMzZUE7CcYsnfZYmTY2sxJ1P1pBoelekJRJZ7GMP5l6K7
58gs729xP4mDhBS3lVV4cYcq2DrYejdVMB7iVKRbyDV48RMuZ7tYnBsdVEcCAEDF+MJZM8ZHvNsS
zK0uj77Kly+srLOtS0HFFVDsb6sld9eZqt6E04ShHGF3P6BmXfJelydhIw+4ywRgq+3HY4th+10q
GEPM+Dx1OAhd/LHx94PIu0M1KxBWailupbMcZZhymufAtWWoDlk5LvdzaDt0HS7hKei7bGtXU8xo
0u7KMQYSxFHwYXEG4gxl0R5iNfxSvdXsWyj0RyckLFN14kevCVj1ug1vVIt2YEgCFvPwCFfuLSe8
0iSZ5pwi7uiPulRW9zpX5n6UyQW6zHPbJ1duuQhGMHFucJ/9Lrr0myPEU+TWx5bT9Bab85uw8/lo
JCJlpMQ7/sRha1hX7oTlBM9NiV/cbtz3hQDApbRSbvKZey7Zre3Y2RyKsSWSH83gkcIP7OrtxgXr
S6mjxUSQsnf/bjzzsUz5GVs9FAbCJvNWC51+t9uB+H9P++rF71sq98g15A3Yd8fspy5/WcDLnkaV
3Qbdsx1PI6QMKn2zIf+C8y87RbOQ276bxhfL7eP9MkMemZhhbsext07E7NePubYvgZdHL+Hg1yQs
uzDeDdncn/MuRB6Fwcs4EYlsOTbwoPY2oX0fslBoqJAIrP5AvfJTQN/4T2zF2rpYbYmgs5FiiO2j
O7mzd0McHDMVvUAY10q3X7+e28niDY5eOCNcAE+Bp6q4oqNZkodG1fSLNeNR0mg54KvYSM5Dp4ic
knWnoFvleIAaEneWQDQNh5mRU4p8249u8hqnMvk9JCEfQL4rK4aA4EXPUYRBaufGDWNRymU/7hpu
L+hM605DN2PyOuKsh9lNXoZSkoDWK7PcdTzjvsVdoq/UmzAl55G1V7oL7bvCCvJprwD7PlZjxG1p
hsEOyX2dTpx8mX4Vxp3vi1A7txT4mgPltvKSyTl5xfuFyJ36kfPkDIHah0HPJEIk2X5vmjkMriqb
1pFXKPwIWdAO37t64uhQWqF9bLFjnDnb86VZGFsUtjGgk1eGORM5EfPVHKofYVm5u7zn+Lfxs/Yh
6GlRBAJ3rtu0gDnR9GdXDjxIBy+5eFmAKDAw5MdjhEawbmo+v9/U+tZeg1I441hmZyNLeIKRX718
/hERV+6THTL2E1gSR6pxzMn1ZPs2VIoZbOldVILYo77AcOyxGDbZ9Zg6/CIkL2be02BmZ6qjdhWh
uC0X1igYpsjH8Y94EVp7k+eZOFqCHxHjEL4mo+pjSILhO8YvfgEqWyrYH4sBU4OhBDuK88ImnHe9
htN+TualP/dBjR954bxrrMw+kcMy16XVWuHZ5PfyK7TwFtfXXTdlbbMlAdMdOaqtO+OxjKBCy4RY
YG5QRRAvuRmM4H8TjClQbKagO8vEriquf9tYt6JJ2zfEv/xoywJFMaYIpe8HMH2lUEgytPdk5CJN
c8BciNmmhOJ/R8AyuCGbwobMBIhXiZGXz+vOymtzmAreAc9Qp0bph3nM1ACrbVqoB+bRAKrSIk2N
KMKY9ViO62tSjmzZHP6R92q5awg1XUJEyi3GNHMF0l4fad1S+2GszTXSCWTC1W/fYEw5kIgxeGXX
BhD8snzBsgi/pJiZ9iLDCNCWAC9UhNF6qSP7pbL5K0Ty+3NUr/+1UbxaTrhwwTpepK8TX2gP8YQQ
YDdb9gu2G7/YUaEsCNFy3WcWx2tsebimPoUnByLmb+P4iEoFV5Nn+KJrIfEbUmJNzq12p2flLs6t
cObkMmVJ85Zk9vKggb+0Gwv/3tn3RnaTs0ouSes0bzIaoKR0i0Wh9DB9NuyUCR6SpeM3rN0Q+StJ
U8kJmDD/EZ+te8vc0n9XYn15K7uUF2jz5joRD3ua5dp3tH5gaezIflamat86WmDoBhqH6VIqnZwV
kiv+xtga3kC6b1MbRU51/D3R5/KGm+/7GJBCzJyc0UO1HzV4X4iYCTTPqU8utuLdUQR8vncLn8Bk
1ALFoqa5op/UPm1CffWQwK8txuLXfgbutDWhcW5KelfvifAkOAQ9fnLF5BPsam6HR5s4xwD6l7c4
WK+CuUWaC9oASSHw/YmiDMVMOIuRqyQy9ntqFy0Qv9gippy1fKabPiDtzHQKEof7I5ag+kh3nfXV
MBD8jhIsvRuh1muwtzVXXtAmF6grOJdi+uJOVoTnOYojxr44zKZfccicTGGBs7wMTb78WKaYLdTA
gbxHSm1TIrs1MVi3LaikHKb6LpvV+DWnD+ZnO/nJ77xZwGkFWak36cyTyc9Jv+og0vhEIVaeJ9El
r0UYBOTVelCSu6hB4N7hpmv0H/Lzf40O/8bo4KI8I8X/i+T/r+nt558y/59/5a8uBzajf1k32h4I
61A4bLb/1+VAP8D/JZFcQv4RrWrrvt1x4CD/r63BI6SExYaFcUzKhpTTf0Zwc/Fp/P2u1g6xBfNt
iOoQC2C7/KfdN80by1T3LcN/MkTf9OwHmEAdeDmBKW1iJVWH361tLmywoNs0TjcR203hcoVxeSTo
0OEMtUf3JciM5JZb9tlNt0zQQ2DrL+yye19/w8s1vShZ9TuVIndnrXaXrZhicIstVbu7hdFtQoTR
zhPAsea1npLpnrtnsmxjq57HjTRAUTYdysQhr3x5ivqChhhAGyihwAuPoeBH3KD3s21JU7rNd5b2
lgdf6yg8ZEs8pyf21GZEki7g0Y2IIptSS/kTbEeHXhhM1Waeq+U+SRDGNzjg+N2rtkIGLegUjs6N
7n2eojxp2yPtNfxXb2DUvDAvaObZoNPnlMB/seNktcDw4AdscASj8W+wY+Dvc+O2eRQ4XZ9MIad7
+L8b6pBKtZuzCt0dTMJEEVMfnSo8cR2VYY2BZrwo1Nl4lPXO8lEj2ytS9bNqW8QvsrOJ3ajulDgB
duAqcVMvOsa0I6SHqM9tA6KAiHeNIslj8s6LGGacrdKTRS+c04xsbtMuC7cFOMKaqHPO+apcvg9t
6Q/e0yRpWei90MFDGeQJT1NJspWSDUTdXmzaJu0rDKKrrAdDzguZtywsEveJoy1Ac42D9zAYlOeu
ZuEpohrHtpC8U0TgqDnZnFgTnglZmew6f5jWCycyJxSCwBysBcoPMm04l9NFKaoE7DtHV4Xy+k0/
DNNsKiK17jw4L2mSua55XfJS1/1PNXf0siBpG1Mmf+wg/3vD+3c3PAY5NuL//xvelQbs9X9tm/9D
HPOPv/d/3i7cAhAncQ15AatRvuTfvF0OsHeWJo7LffVvpi7+719NXB6IeMwbTJsuIm5I9eN/krtk
BfuPdzt2iETYSEFyVgBy8MeO8e9MgnnEnl0i3p7xoXIGTBlMLHfAu8yRhmOC4pSsOroTN66jiHA5
nWbWg09X36KJ62eTjFCVm3TguoYBAHBYOCs2WiYuH9TclzsmQCJTVFOS8x+KfDQ3SR7pcQ/axN2D
fDVXEbF94adkdaOZ+uXdxM3vV1TEqy8y51zZZx7nloJP1VNn6WjbF6xD4nleHkzEz9t6kBciDgQX
tHVOPOzj61t+TB77HOXaN09wdMYWJ3f1aHlnPTJfgvz2rRpDKHbcsf/iJGbkJrWmNjaaDUT0c0q9
NDzMIrLcb/aUpPm+GqkuKUBVWcFrZguyVBsxC5XdNMqTsQdVpGvnh45a4WyNg8zpHRxESoQaqZ30
iQ1TeOAQWcHOy4EYxRA6JmLtjCFecHb89U+mDgv4l6WXLYMNNwYaNWVOA67OSC4kmHfYV84xO5Ct
Q5dOSgaiChO8MJuuTt8rDpn3U6QbHHMGWB1WH0L0TtrFL4YGMmtfOzP4XYTQ4xianeKfNo099R+A
aqa7KC7QL6Sdeicq6p1Hk7uEzZNkeunLR1bg5RH+NosrEF7HWBzafmILMJVhd9NXsNrw3XPTh1gR
KIShDfvjZmtpkTxOoV6eZRvIF7qM5CZi5bv1AmJEKpfBL6teiqd4UMumg/AAqcRiRQUs5awgtr4W
EPA2cwbrJY9IsNJZrIj3lCcKRssnSBLycVpUjZbHXoZTZHe0nDm8DA2USqGhcRKVQA8Qw3vQOMlT
JbNot3hefpYp2yp7VtUNq5lhP7BO22YmL5+biXGKcF52xA8rPsIUdjF25L54mKywe0sn/MVbxkWb
9sPYZBtVONalJhyJ6EfD2iNMCX2ciRB/89ySfE9LM3eYIm64vvxYAV/fwjWZ6s+eD+F5rYyhc3ET
dgupRW/+lSTo8WaRzl7gxtKbKUth4hg2ZCbvT042+xvZzjeTnwX3FDeWB28ywFExcNE6kvry3GCJ
uiZN5LziSo/vnKiGduzOjD2FLM+s4MV29Jvh60AxwD2BQFj8XuWx4tXLXQmb7VSlbfBIENW5G6e2
eKFaqXjlHS2PyzJ6NyNlcyf4yO2dND49U6kKky34nwgN0DMP+HWm2wr6wI5p3Zk2SRtHT7pQ6NcW
9VAHi3LCa6x775ENUwhpcV26AgBKrE0b5/mlDlPvnjaq4Xbqvfz7MtjLBGBtzRnJKUcDkd3XUY7z
F0q+2ovHGmZvLbl4pSqr+NZPobpRQcN4upBautgmMiyfqwzMKZTtc2sWzKDGTndkM+MDAljwO5j6
7ohJTn9fChcbh2ARJdsKukpyJQkBHmPMbMYhkhlOnZ5d0SKa2nqbCA+wqD/+HOsZRoSsy5Od0j1Q
w23cOQwqxz6vowNZiYU9ddi9t0kw3tistw6lz44grP35sWiC7i6TMfSMfvQeEz3rF+y05iNInOmR
FyS5Z7mHDBhpB+F/rnZ8ThQbzaU4zaVfHNlGhB2xoUY+t3kPgSVy+LRYTEAiku1PzwrV0cQVIL8l
sb39Ei7Af6pePVAxULtb4EEcdVyQf5hZ3N/GzYC2AsgbuZR1g0bpfG0XOV2zpHpoJyXu3MZNX1iO
lUcDjPSweMQLNrbO7WuYS5ZkjPJ3FgvXR71M+OyoYRe3DaVVR9oy78tuhA7n8EG9jGNKx5kvSDAh
/C/nHBAI/FzSbWkcroqdV1/HTm1E5HGrqcv6xiKge3E73/kSagoht7ayWN53of7ICkQdfum1aXYc
iuKEobF7lxSGE8FFH8VvsU+6xv1RkH84lyBBjx0hiq8OPcFPaaSiO5fAInuBzsCJ1LJ7HmpE4YUa
TOb81nprm9HmiebMT2W+Yqz49ES39Tzrnyz4C80usAtOdR3MF8B005GOv+luUj3ODMhRhzjvum8z
u7mHZd3t4HEwRy9fskeebC0RThZBsaqj3zqXqqQeiIO2EOnPWS7F3s+NAPHeHuYmHm/0MtBHuO6b
rGZdPYl1CxU7koWUPZS0TlSxA+QTaRWWPsCOS5n5HQUVbLWadb8Vf666gnXrVfsOiCgxdd/jlOap
vU8K891L0/gI2Ca5juv2bFr3aPTR91SnxCf0AJYn2uX5til9Vd6hCon7Agn3KtfF3BgPzaVrLHVN
FGnlwpfB3VxGVCBM9fg99sFPuZ9bvuFz4zesy782HeJbMIb6l+2N5bgRY87jWqwbQ4pArK9ZFoSv
Hb0Yx+Vztdh8rhm5abe0N63bR7XuISNZe3e5ndTclia9w5aBzlysu8voc405fq400ay6bUVLyHZp
ovhNrrtPO/feaH1toCvXwZd4XZFirvborxc+t0HtPujOoAsn9XV9Ay9d6TlHo0jE0v+yE+sKdqRj
8Jy6NL32WU3lDhG152hd2pJsKg9d1wRH63OnK9juQj12WYNRa0gvRHvWn0vgIPU/VNazGXZUS9vM
PIkv1Cq3B5CzLp4jlsnB5165QtJ7kJ/bZndaWDyvK2icOc0WPNJt/LmfDtdVdWc7aHaUVQrlQpHJ
re4XaR9225ZmzQ0xOTpFeAO3w7oErxM9PLSmbB/AD3WngtEBgHNQb826QJ8/d+mJ00ffOQu4XxdP
4AIHNRX9jitrfK3WVXwi2xccB7gMC/EIYnlgzsT4zrljXeO7nxv9QhXZhXAdUaPPjX/kU/XJQ7sz
H3nbQ6kaVnuAi0+AXs35Rss45dLE6FWtdoJkNRYgkVU346fbYI77qNh5ny6EhZvwnZeOHd6knvV0
X91Pn76FZLUw8LyrD9NqayiVpQ9W7kQnssZkQldZHA8xTojV/bi1CvwRHUaJETcrYQKJeYJEtyPP
QZk6W67s8mH+NFrg9sF0Aa+A4+s06D2FEPNT2APNngndnkNb1/dKdiB2Sg85GbU0+snBN9v7vnSP
0ua2EhOFAi7w6QJRqyFkAn39TEq7fCZEz2aQ5SYNo0CZ7sHKiRsjQ04raZCc7agFHIsm59nUmPAE
28RTcs7HqTe7ZXWpFGplNrPzy0eOmKI5VZ+WFu+vBheptIPfxeviW0LZeJdU3KMRZt1jSNPg1fd7
fYfjzNkJmdN2m3Y4aerZ7FMO/i8mjG8K7Dbp6rsZMeDUeeDwW/qXSkbOjxzuBLVMJSnyJBQcyarw
hRZrl51/hEI9Z96uW70+rWfeesw/bE0e49UNhJYc7shOZiz4cnvbrK4h27PI9WIkWlZHETJ+RaVt
+szb4h3G1XckBsLJHrXf5Ibze2Jx3nXApuSsfqVldS4Rkih3cnUztauvqVgdTiXsCmRIXE9N5NeX
dHVC1WN8yFZvFNLtfba6pbxP41S8eqjIpfQHJ8JXZVaHVbJ6rQiE0jWD/Yp8LeH61ZGlLXc5ItFD
lRLxUay+LdQbikFXL1fN5fdGwHCPzpR8rdDrT62V6EuwusCy1Q82rc4wolk85gbcYuxV4wPhcrNt
P21k/ogs0qj0rl5NZkIW+j6w+eXovtrnhqxh2LVUMoUt/Rp/N7X+P8Imq3n0H82lIZZZj0oxPMQx
8+E/2sCzxNekquP8XFQDY521RMmlxysAmHb1dvp23X20nKUo2BhJRf7rb858+0/fHNu3i3UYK7oj
/vTNTV73oTZtfnaWpv8wRV/fgrDN7mMJVe9ff6t/Nigzz2CwcdbpN/4nuY+SviJcsopv1dLdAkWX
9RkNpGnz619/H4eR/s+/E4wjWpLQNQl2/bmfUDYaHoaM0jOGEH3IYioww3Fx92Wdq4eul1LcTiKz
8632q7c2ot6bu0oKIxtNh+E6yfjp/vWP9M9vcYTK6aN3Oqtn+s+YHvxYcaaYMs703pirXfX66BVQ
xDYQSKF4UFTdfyzjxPvssJD4/N7/1Y/+vX60Xhn/Wj9qxv7P4tH6l/4mHgG8FYHwcXwgHPHR+Zty
FPwlWhN/xDb4l3+Vjnz7L2Rh1nRt9AcBl6/zNykpRDjHM7+GZWx6WYEY/ScIL+9PoQ0iMDy7+BAR
9/EI9f7Zgt87IR20XZpdTGDDayxL4hQKxHji6k0b+tOrnVYR7V7UBmNAru9w3lmbLq5sZ1uLsdg7
UW5/KZQ0et+7i7zH6At5LrRqVmZRf1xE7l1UPWJpIWDY7YJ4QXVpEuHjwZNzdNBZkN1M5dzc2qlw
ok3jlrct0snDWnR1rGyRHRO65I4+lW6Klb+V7AZuZUeTZ/1Zoi5dx4FjuiH5ZkEA0MTKqzl2b6Kl
mX8gv2qemVGSkt4akaYtF+NE3UASBDBIOdxa6TLiepGmeYtkGV+NxBi46ZdY8finY2gml3+g8S28
n5MFtJ4TCsjUbC7tswOe8yR71/qYebD/jlaQNfzy+Ew9W/8rXahuogGudR7yrB2PyvP6J3/w8VTK
CFeO5qkA8qFwfxU26Fiaa4FbQB/EDaHT8A5Dd3oztMb6YMIGrO20jXsHAq0+67x7mRBenorZDY8y
i6fnrFXqixBqgZ5gmf7dT7DW9hY3p+0Y+HgtwxRrrKmFYbNZn0tbwhF0cYCcM3rIoq3rOv1bp5d5
RPSYv4fsVXmR6/IdK40ijJ+rg8ME9mHssbzN7f7eMmlwkb2iVTcx5qZNqPaug2g4REs8QNsMV0aN
rUe35/1M5YvIBU1hvEojX42KZGQ0r7yhfBWva1OF/KIASzaDk4y3Th5YpyKwsyPV2+XXpvaz71Ll
PJtRBT06ppamweEWFM6OAhwbOzR+hWGTc+2du57ur9EXBthrY69dAs6UHDLDzbFMNVLZPLCqLo3H
YQ5/2vw7L1y6y9rFq9kmlwOc+yKrgbrS0uZ3OrpN+wYbqNHYqvu4urYK4oRreQ4zJN0bFocKHWkQ
nW36LUG6CJmIUv+9W2Yfh3YbhGA4ev5Ua1cn02Lt302RT2ghrkHYVYF4TBPaQ4BR7tsMVyhtOruw
D+4wyU0fdeTJs93TPTsXlpXtpmHUR4oElxtjVEigApY09TlF8mJVLHMvSed2xV7Q5/KzmwkvbDJ7
Hp8mGjeS/aSl86qQamuK37vx0RnrDrOV7W5FS/OJZM06MSMp/TTMER13vidn3Kcxp9GclkwqKj10
CJwPGRN74nhswmz2Y3bmv49InjUkVi7abQQW50TbZfyjiOzoSluPtlH1pPhKw2SDu7eIKC70s3Iq
d4ySzSHO6uotSDPxjOj8btlzuwvb3rs6Y6h/BW2vGTMcp6n3SZzUL0U6Ds627AtF2XhZ968qwjG/
0YCUz3HSqF1lTZy1Fdr5LcWYateq/hHtUyCh5Hyeezvo1lpMfx+XrdlWLhqsmWjpg/eZ7/yMIhgz
q+4iGye6YAyLqFujrpTXAeGmGUfuaL2HkI0/lAJyymee3MkKjk1u04dkCZX4ez/q7VdXZmJvfG6m
k2uTXhBA9Apm27Y8p9rr7qSfjCjujaeecDn6vLBRVXyXedHpTefgsuVmloznJF3qmMXh3P5AIIas
7VtMZ50twHIgaA33PiyEjyaI2P4PTjEx+2LbKqTJxKZhsqNeHXvAgUqM7kc46/lXB/7nVfu1c/UY
3qhZnocY61+ggRQLqlE5S4tE7mK3rXZQaZNzBseCfILdfkkl4F2OcfMNPNN8W5Wyg8YcXXy2lrtp
LV8Taw3btBaywUtO943jd8eFtjYG9fEIoTqBIOyjLw6fvW7WWvEmFGVv3Vr7ZryJBrjJoQyu8aiF
s5u1Ia60KYtbbGetMPXLLqRGzu/nNv9uPvvlNAOBtF9iLZnSN9kfRXSkomilSxbkSZAb4b1TzAn7
zrJ/CqvSfmKLnD5wW1wYBaQ5c4z/FkAXfuogMT6NDly8DYGN5BswmPoF3FdMoAA99pLpVH6L69Dl
JjXzsYrztl4989UDyWiEmRTfJtq4fydSQNPNZNx9EfQpt22edtul0vnd6Irx0MVRxxw8VHQoCFu9
MB1bWOOoi9gMpdXyUWeBtHH6IaTrgR/fLMqlyqdO8A4alXzx4z48F5TffU1HK+42GY2yvzxj6fva
SscK11PX3CIFJndQn9ovhmv8nPKLf7R5R9Ov7oMjpNmRZsfO/CAGsDT0IZG1T50STgpUp83iKGJJ
ilyEVAH3I4CIhnZQE52JFDVb2lkfunJkrd653n0Cjd3nJiuTJ6I55yYs3Gu/NGmzrY0f8VkbscDD
rD2ur+fXvlmdP4VBFfetCMZ9b91LSTBl77pz8FgKk/1MlJ+zL7ZmC9LOgocwsJW+aPTUR1dCBhBa
iPPkjMO3PmmqB7T96cTnKdSbemx6fKyRqHiL0omYq9b2TuFNminSEt3j7NkVC5bCE1sqA5x9FuT2
Cau2j4WUCJuJxHIeeDDmm9ad72oRf9hNLj6cwXObTTAE3Us+ltkPe07keWis9lh7mRUzuXOr4fLL
eEj7Jc4YD0sExWSFfEgERxBqZsi8KCd8Bdgb37u65pOXrTfNmcYzqnznOTD7vnfd5gs4wZfcrVPu
2BlYj5tu6EZna9cxnt6Jcfg1txL5JaBjsnsIexaaJJFEZ21MGBLeqQqns2/dUOU8x4RT2+RgyDK1
Wx78vPKNa/SXnszcIrxYH7yM8Eorwmib1TUrAWIfj8Zxm+IG6vlQYUa1speg9YL8zQ35iAPhknaw
7wGppeFGhktnwqvjLIzuxyaVuT1euGRd3JER8EDsU11iXjn2Lt+ltOqPYlpINakx+krmur1QdfC1
qyO9r7yuOkcdjQnROFUUKyxPYWmoah5/+3n2VqjwlZzk+O41+JY3AMZBnQXjaySs4gQfoHzonHI/
+5V1y5vjgqdvJfsA1f32TDDVG3zEEoG98+J8k4//w96ZLNeNZFv2X2qOMADu6AY1uX3HTrwkJU1g
lESh7x3t19cCFZklkkryhb1pDiLMwkIiiHsB9+Pn7L12lO5qegE3wuqB17etDLH81Vgtzq7dEsgy
mcjzMKOgvyp6K9MW/z09/c9IyJwy3js9XUJC3j1mJb2SmgP6L+TK/sf//T8Ilea/+fcRynk+FXEK
R2/02wnKMf+yLDo6nIY5whA2Qt/hX+co6y+BNIgxNEkYz/P5f5+jpPmX7QF3QDAEJQvfuPgn56jX
/QjO4fwgsBSzoMlFXfey7yJBdjKzRfyR5Baz0slmhGcH9799KH9o7nAefNGLeL4IoGWm/9wnsMiX
F1HE4ZSe52IFTUyssk4zrUKnc5aMtT4yZr/GCcyXAhLDmRTqhG69zkwpMn+osIdOO8TsioS5Wfto
ChI3CqKf0yBSu8yote0wQTHzXMbX79/pm4/TRUgh52UYFoVAafHyTs2UllVvm7S38x6TmPOA6fWD
ZtX8I37vlMGWMqkEoe3ofG/ma4t7XWtjq/tGtUO8ex4scd94RrFswasQnFTxlP67GfCHb064r47Z
YJ0MDu0uoG4JzdvTgXz/jvIVAbGDg9c0O+bI1YERskFGjAduILHADaSdvJM+ydgLGSAoXhANEWdE
sngTp9mkRnFGQG+E/yXAnUFNmuzbnp1uCcjGq5YDh/Zi0TQeiH+zMkqws9SANbXE3owz8c2Mwd53
jWKK5HIUqpVu3o+Nh5du9Ii0YHkWl2HVknsSJmLV6uNwP8Z+DVMs6IOFMJ06XEl8jSAt0+ABYl/B
iYCJsB8U1pWl8uSTbWnPUZ0oZwPanm2XG7BRPWSnbluxh2Pe6tpp2jMluGhjrduILPspnfRTEcnv
9uTeKI6By166xK7ow9eA0SmXiO21ZhFIkIl4AoU3VdukQr1fEzloNXH/VIdetXfi8KocbfI6SXxZ
SxNXdY/8/nIYiCxmUuAfUJTdO5rhH+KQlIUKpSqbdvdEIrx3HnIceaMRx8g+quCs0E8vW5esY68L
EJ5SahOUBdslSv11rA/hRd4QHBD6Cx3LUX+00Ick677W8AQF/Rh4aCDidthEGC3OlYP8OUT6uDTd
yDmVehzrx7w0fGOTD3Vt30momQ9h0pF1Xxj8HNImzXNhJN0xrSMC7YXFubauVca3SpPEz6oaUh+b
sJlXCYYcSp0qqyjICgTbhLcYHPSwnXRRqt/LIoGmjUt7qYWR2X5pI70ygqWOj4E8seAcwXxa59Fs
kGUGtQox77JPRoZH3gFYPGJQ65tyyutr8IYnYLLiC8MbdZatSHYVSu0LYxD2Lst5FigEok2r8mGb
Z+JLmNTWSA5YG+D5F/jJmsi70WlAbDVcRhdToBXXLRmxJufZCxQbJXjkMtU3dR9XXwrbIkAcpQDY
58GKtrUn2yODJkJ9ptC+jugw+MTC4hhQjsGIN2BGDJaGv/YwdMEBJ8Cs8uxvcMrfxVhOGGYStiSz
vDvSxccDEILV61pKHc3vja0pKAE536S7MVNyj0ejOpLjA25PD6ziKsNsT2xfYBL/rfmBfiP8anzE
soIjn5fm1AUxGU+BbW5JtycII9Us/PcZxEimfs6q0iuuhji94H1BTIFbZvA3PsRdAmZdHC6Jypc+
Lq8tMJ/+OMRxTP3T9ksbBRJyct3n3acIMSVB9pwZh2VmJd5C2Gl/YPIPUItCbuPHtndfFEW8zJII
DKETPtLBevAMGnKBUvqniFP4zuzEV4fvVXPT4DaBurXgJMS7HU0HoJsMSP2E/EKpqZXfd8kK0n7I
SDq+0HBw3cQ0YlZ5Nf2IApds01DHvuv6QbfHW92uDU2/GcZ2oyj8d7GGigCUwuyx4scGvl3d1Ybm
UJQ3vbYqq5rMG6avj4j5k0URlvYa5G1VBuIMK9nDeJMgGsqdrrkmJlJQeuruPsp6sdUNAjGHLjTX
IfDTFO17OV36aaIQc/jleFeQCXRiQZqYPniMX0wLViNdDFDXcxqMXyzT0qetpROt6ubbkA2AlqRO
rzMIkLqnJHpewhbYp515B2ZJX5i+QbuEaZusXY0jOY1HP9Hci8BPnnzaVZycmjVUCPnY6rJEjSu6
q1KC4F1YWPJXLAk2hIR4OBE5ne7tzCQby42Iiu+n/nMx9ATiRTVX1pnQjksACjmaBqRVP71YSx+M
vtLP9JTkjZhim7kZ4SuA1uJmUeAQoK8U4jhinMl7Yg8/kOtylqrIzWwavM4MW++t0Mp3o8cwHpNh
2i4NOUj0uKweoDuRPE8O5hWB9p5D0wTQo3G1HQMHe1lVzneH6EPi0MA7rirfiokmdJ05A8rY5laU
0eiV49LpxmhnJtKce6IheIqiOBagN3cWHZgrOzIS+NxB8NW11lkQjdt0DPn4u3C4M1i5Vggl3Q0f
EjnzLvNaSzfQmmgqMW9lZa/tPsseFHJA7AV2eGnX9vTQYCEpkqiPFvBO6svWKNUmycivUbSAdvSH
SWu2ecjYPH/mCZYdn/nMBqFVs2d/7PddLFgzKuQE+AuNDPnzykyb9ldd8d8RyUcjEkLIqSL/XRW9
gSdePn2rH5vkpavg11/6u773qNap0qWFvhWaFakQ/56SoLv9C3CiTmWN3UX8PioBnagLU7g2Javz
bCT416hE6v+kpIe/+LJExJlAZWJgcqAfb+OlmavU31S2WAA1WilhdxLZ5HUhswFO6ewiQlbxyPLv
RHJEeRbNTZjwuR9D/GV/tuYmTTO3a9LMpXOT8+tf1HM7B6mFfRqeezxqbveYz50fU9TaJp+i9jOr
RwbAeu4RAaVoN7hyoktzbiElz92kOXZrXRrQ8DEOiUs1t538uQGld25GXwsIjJrbU95zpyqam1b1
2PcH+dzJGuamFoI2/77VQ81kiFN4n9LQzT7VpkLkSEOsAT0Dc5smmV1Z0yd6b/UnVAokSc/NtAlK
+1rrhTokcImXLGEJfFljWMtQMsmOEF6e2ygeHh0nq3YRJSv71kQ6RFWVzbXt2OFDlSUtHt4iLlci
6MyNFzrGrWNV4SdrsON1p0vMFBpZbKc66M2TWzV3zNtBBxsGZehCdgIlGQvWOVctVZoxfEuI6IbS
S7b3Dm1+dCJDkfkTkcbNV8x3PUlSfId3aRJnl25PfLamwulQZ8x7F+EoglXaYb6O88R10SBp0bXp
NfFOS4OrPokJVsaKsZpCK142tuftdEpLOJZ5e8o1/PWhkVEaqKwfb8e5rZbQ7F7C1zCvILY2OyDp
+YVT6f1JNvm442ArHtFDF4fYM9Qth5KULR01yjo3S4VPITTdfVYywpho5Gwqw9FWuZ/mN5rSxa0a
pfoiPDP9OSJDOJsdYV92MuSs3JZ2ie93E9Ar+8xnRcuZ0bB3XTVu9lnUUbdBQZKvcoQrKImTadvr
lrbWRD0wKWiaK2RMxSkeFF4W0UXVIubBQdOGCPe7EDHzEeQl9F40IqzYgdMwWUs7D28I49MZ9Hnw
PEcf2FOmF93GbcJpQcf9sTM795gj4NtKYZWXsqb4bHMIzZo5kVrRBMOGyHpvWHeaF5/KScpdGpTu
Tiec/CnOg/haL5GkREkwXSWoqwCLWL723WUoSPUXNJyDqt5OhwVH2PaYR7bD+hWGBzBZINMyP16x
i1qfIyPTH/BHDyfbS3RIM017ETmY5xjKVN1NrQXTlyqlWECUUg5H0KXB2UMKd+Wi+K7dMth2ncNE
SG8U3X6Kj8QSCkFVR+Qfz2TuMPypWrxACpOQDc0lofuYa0wWXdvfizj296aHqQ1PakPERYWrEzxz
NbQL5FTZPctIeT3miHhzPCVrxheQvDHtX5DPgKYGPS99MYYXa+Q31VUWZMFVHUpzZVe2+JoyJ4Lx
p9XYXfzQQZ/ktuMtrUABSCcnAnKKjXAHhjo7tBMdvAWG5d5fdlpldZscQfRV7AvDWFK1Jtmlxtns
HsIFckHHLvxyKavKZyWJ0LhNWfEjBafoLlo7Gy7E5GTY1xOLaibGiXPP4ZK0kpg+jL/ENT+sRGQA
yJ5i8Dwb6N9YXTDZDDcYjoyHGkoQlWGJgbzapHbB2PmCToSL/WUhggxxxQYjNafH+URlM3Id9LbR
b338SqN9FzhZqT6peZo7E2J52w+wEBptWnLyyoZyJWEy97d1PATud4mHHApD6KR6b91lXdxXztot
LS3ZaG2r4h+jU5ZGgjbeqGs2Lja3/9YBH9QBBooEHID/uQ64eIzyF02+v//G30WAbZP+y25LYC/2
QDZ7dt2/pRKO8ZcOwo/qYPYSvtBLOH9JmlWY//+VGfz/+3zUB5ZD8JOjGx7CCfqJ/0Qv8bIkAOJJ
n0/n58C5pG5/zQYfEebw/s90Yn89emtrvGBG9dun8Yde0dsuHxsBcgzMQvzK1B8vqw7wlDN4wpt2
BAHjGOToOeYk+37QkfroKvP//622qX1vGMjomHZO/rXRvhbDE5k7/7sbedXEc6JCggXiEu104+g3
Y7Sqpm/vX+JtEw8mNuovj16h4TKwfXkXRCaYeYeQfEfriHGrBjAlwqCYZdXWChH8vX+1N5+ZO1/t
OTsPDQ9+r5dXcwZrwKzgEOVRBHAPQA8uooyYGTaudPXPL4XNzPFciy4lTKCXl9IbuxwwynNjoRuc
h1hWiyDujAtddcmvqcT/mNrqclcUT0DB52hA57Vqz0gsfUQnXe/ymromSVWys2tU8v4wIbANhmxb
dMH4T58NLmoawhBQ0i2QqK++OLyYhqkVDLDGhE+RZGQMU8zZATXxr/c/yjet7PlStGjwBzM3kK9b
84nQyqksNSD+Y0gHO/WZHGmVG+8TUx/QO9XVdTka5JumU3jRpsPwwfXnp+Jlo5nrM2SAUMt8wnxN
Nh4DWdIxCZodAuyBMzs3aFf93fs3+VoUOH+JHIJoMLMLQzk1Xz4v5CGoUXm0GJSqjK3Th5ySA/KR
LlNTx5GKUZm2F9UWibL15v1Lv+1sz5eG/q17rFlIyV5e2rNIYwg4w+zwu45rBoZU6/Fs+HM0PaW7
EMAIIdbPX79/WQLh3779WCAlN4saTnIAePU+zhPzOOiqemdpef2dY73er+EMmGtwOdPO8pP0EzNf
oAxpC/mj0Zl7N4KvAJDSFr9Lv0XJXt+bIXqgJXSQeEX28I1pZZ21AnHTnzx0TECHyG4RaqCK7nz/
NtLN2SlI8M8ZzfuwcGInPjY2Uxi3KL9mxCTFrtus08Lodm1cL3Hd0EuCk2HTZ3fCi7Qs6Y5WbbGw
o5oQi7qFMqKnzlF3J/uLljl0zkNrDC/0SrPBQqTjctLRYONfpIc5l0eLZFDpasJUdWq9bLpDopWu
wjI0l7FTfbeZloAwzjAvEDO2avBLb6XZnJCyqzvi8+QNSbzGVgOFR4B2HUNPoYpPW0NumoQ11BlK
48IFHLYmy4bkX/BQn4SDZFnCmTg5UzwShe6iDexIU7ygGctWCHNsGRRteOPHXf/dU9l4g8etBSHl
DzwGXcz1oumpZ8z8GSlcjb0cBukdzGOy3fvJeKrrQUuXViPVT62SQ7gkeUPde2bkhtDdlbzpOp0f
NH/AljQuCuhfagHutVzao2XjcPfVKbV9waRKBtnat3KnXPL7MQCwlEMGdqxdksj8pBpNQoFW7Y94
Gu7kZD555Kzju7OCpWy1CHP/EO/1EZ4kpzFepLyXTzNoh6EL0XyoBVgxYpjBAzSiSXGO5udlA79H
PDjJIfOs5j6aH/10qJxj5rYhoI/eXwurNrbYWsKbPjWxn+SiW3l1WW96hprbAvM3rDlEeshwRp8x
ANl2yyl1g4OFun0Ho4kLmNPcmovVts/cBIFc3NHHndpbVfr84dojoD1xI2QUwVgs9NRPDi5rL8cD
bA8dQOor1+PjXFTC8FdZXZork7LpUvVeHO9j08YGn1Yc/ghWNnyYBEBWZOsHMH9neWfeJsOCLGHr
ykyJxg6DQN8asva/+cTDejwlmn9p9h7oSvyaTruQRt5ynPblFS5YczUG2NaGKZAHdEzVqdIcmEnZ
1O1tr7SvfU1o26YMBSa3LDj10rpn1DHdKCfEfj9YnQ7UFa4Z8j4MV21LFMsyiUL/mwJsvKDXXKiF
0FptW0CZ/SnjxP0JNU8tG61Br4Qp+1vIPG6N40TS/2N6u9YahU2r8ObPw9cTe2VMw48UBCzH/G5I
12QeMhdojHGXkdVySoNAnkESTWt/dNEwCc0yti5W1a3Vy/6za/rdVxKswxs9q/QdkVhz5Hk7QAty
og7+I/DE70bSqEOVtdllK4b+sRYY5vI28K4GYxJn2EL4bBt6sOuhMqxjb8JjoKcxbYKydq/jqM4f
Ecr2N/VIevoQh+pywEtH8iiUnqbyrGNSAncyONktkWTZt+Uo3JWaxomsPACAtFdNLlAZ8+KVmr66
qScdj8ek+wliOtu2COYkjr7zCS6Skc3IKUyL8Laqu/iHNdnNzuhYhBIta7Y8GjCRGVJvypGQSZQS
QbZqSga0FJRyTTO8wg3G8AA+XRWeJ0AyJD91KT/T8kOcZkRRLiEVTwd+24DE82I6jMlYHUGS0ge3
/AhuhJ3r8cLKYm+Px8HaFDE9cKST3t5qPNBLIIrWpR5o2zpMIhLLbcEzAXwQehayqrU+1vX+F6wq
rNC6+KGvrR1/zkwz9dRj2qH4HIaCAseEKnGdUwR8A7uAvrjokpu0kHA0iXxcKlaBr1HkTeuic5yd
MuPuydExppvA7I/PKKaeVDt34eLPovlZGN+Uk89UDpBAPzG8pAxah/7KM3Q4WjO5ycxt6zYLQS6N
A6TlxWQ5M1yLoBTEeGrduTgO1jzDGORHhevYCJD3PV8SswomfuBu3bId6VKRcz7z+hLVPDiDalYg
dfijshbaGq/tePFMCSPB1fwEbBKijgyLe/KkEIl5bb4F9OXjRTF09mq6Mj26wqU+zAyhon1ENKH2
LgYTYsrb2Fq5foJUqp+VNGPdXXqwLIFghXSRasOLLmhDdRcGeWEeWrBi2BU4BJHilKR81qagoae7
XXaIGwPEkFPYqp3Rm9NO5SW/sD7Y086LMKcYmIc/qxkAHckZ+PacEmOVDGuc3mZuPZUtl6XD6h+G
yWXyUcPJKpxKO5eRTVKENvDVu2JC6uRAV2tTEf54Bk0lMwQrq23r6BsF0za7IR2lCnDRVtSbWw6i
9V6UWnLfo1Pe5nkF3qyytbUla7RiCmBZ8Iylmzc7VALNQovxovU2EDlhQGQqPCivIai6a1GP8tHI
qnSdlzzgti8TdPWg3MmGUGu8fvlTzB6+p4OHoZsUwnseJJqtDEquVNx6t3mMDtiWZNJENTwBtxb2
Z8VZVC0wBPqntCff9xdQyvQ18vfQ3d9Mmt49dbmv3WVO6S8nhcN9Rdbu399Togb/56jzyw5S9Btm
VcYlmDXtzCCLRUYkAEtTs2XUPkRf8rZxbzxC4jea3loP6OnlQ1dr8iG2yvGSnQoOTRVqqzGKtBX+
RtCEsGbmqW79qQgzos9q9G1aIiCtzJ+6sgB+F42L8C3RN3qeY1LGb3i0aibPVYGiMG+nflnwIG4G
q9CPDmjWde7FitRiJdZllWHer3XJS+x446EFz3Xlu0awxyWOpfb5WSbImPAATeJhpzlxnNxouHSa
fKa8OAGDL9WhQaDJdaVXcbaHbWB/9oAkbJWvS+JeIzZDfZJ8/VM1XSQNRA2jgqsX9J7AUEZ6Lkug
MdPOIKknuO5ZFMa9Wfr5FYrnaRUVVksMY1OO9zoWQWtB2zleTyhRYfnhD8KWEy/axImvCGLUNq2A
qSfp9B3hmQ/XhtODK6zL4aoi/bhYOGGutg72RbKCpsxJViY2nmjBQNZbszd1e68OJlClsoGrq1Jg
OChUizOJ1vmmZcGhBoIze0SNoq4qaIQYvewOfyRcuLE3UN6Bpt8IkwTCRZXk2rnRdcgfbtZRMUvR
LFKm2ks9aHg1lVXGi+k58sXtKkCiZQfczMjTex2C4zorAd4JLzK+PTPWZQY3W/a9/m30XLhsQ4TJ
VpNzFEHDixkROgM8lxgB7FTOwe7luHbVWO/d0YTAJkjxxRjv2aTqqo6AgEXeiAnhAJTVhSZSFA4+
/3GWWsVkkmy47oRCMV76/NFrBntwfoqp8ncooeU20sW0j13fhusQbec7IlJ0wBLoWeGlASUDf0CU
3WIZIM7NhYQ8laG25WyPeURYo/l1zEc3Zm+obkUncJaRvHgExHvdliMOFQneFFH+k1spB2MESuEW
wm4aj/6J28C5qhesnAR91hvXrft1Ad1t6/vgaJF2KnhKVk3qRKXTi2xpWZeTlS1VOF6bIM6IRrWz
706ufQcleDXgk9iQTYnQQxjV3g0dTK5TdO6LcFoylg6wsVdbPogOmbbEjI/zZEM4z2ckPfVSxbP0
IGoqfwXYJFgkAo6p7iqICVYp16mDQH6elEiqKtOWrNiQh0v/oszDYJl0oBrsKAWYUoiu3U5THH4N
2s7aJYNBggDxn5im3am4LaVtEokZ6BWMfjM8EhdaXsNiKj8Tbpgv2NWzLwREwPjtHPsWj64cVqmL
TrPtxulgRl6ylWnY7rQQx8CqCCp5jc55uo4Du74tgyhZAxZ3wAoPNcJ0tK54tZGs+3UYEr04xZuu
SujG6Wl0CGIDr4ahqm9ePWVHw9MEuMjU8upVXwSihzzbDklybPJvlPcQNziOXxheq/RlbVrFTVfF
yAJMRBjX/jQWezUCr4yJn94o8FUrM8swnCTIM4JFXfMtrgbf+sb0q+qXXTiNV9JQ8U1uKUQOJK19
sWvqKyTVoXk5up76kqShQxJnlD/4o4O8o8pbca/PO6RtZCUkTTfcDXneHsPIlThNG/WQK2Ht0Gz3
h9QKumOvjcl3hTsLOL/Bl1uQLX3dOWX2I2scfZ7GyUcYrYXJK1I6ByMx5alWnMBtYsgwHXWABACG
ynY9akreidzJ1mDDgVAgiQovC218SjrH/WwWTg4rfHLhkKXThgyIeBlDn1hQ401IsIhebBetNvQr
G1H5MY7TeBeXXYplzAGgkbLbHkZOFaTTiGnRG0TsYmZaNVF2xv37ecgVDS1W+QU9WxeEDDjcxCgf
ahGLVYLAJVoQpVe1K4vKeFt4dnYukqw4qSk193UNGJp6PgO7LkAxl26r7QTykmzHccnWnkaVAqLv
awg9re3eI4rPgbXBSuYU0y9MLWIeKDSFUN5JrykV48fBEMVdXCXV57ItB2dbahZMgsivomTbFWQG
L5KEkgZ9TH4jhdHny2f0YVLbZrdokS4dOrN9CnoXNDCdXZQ5bn4UVLbf8xJJxeg7RHZpyeVUdGR8
NkJLtyqB3g5stjglXcmY0qtKdUkjMLhE32/DTUrjZu26VnWB3hpyRh2bn3j/f6iclOmWPc1btI7J
MNpX08ErmvY60WkyyCAN75mIErw7InI38sy/acgU/kYb7KuMm/6rHIfbCeKd3DCQ7VaA6Qy0+BMr
e4lGiVctvUWY2aslsRP1JwvYDswPDEd22OqbqYNVZ/HE7zS3kNsQEfnJTGzYjUnd4hHIPM6msRl8
Y0Dd4NLRkc4LLYBlPThnjjrsJ4GXffUzR8cC5D0gSumPemmYW36KSRZXpW5lJH/gQqqvOppahOWR
v04QNwLuRozxhedN/barHT6xwnW3VRADE9Hm6G3hOw9OF8pz1BU1rGamU2bt4fLPqanG0PY2FnYd
RkfmNWeQexbk5GooJxsxuk1EVK/sdZnm/mPhkfab1j1BrZWIL+3Bhw9uIQDDBEZ1C9SjWgZdn3/K
pyagwtXoN2cK5d+Y3fiRZl87FcQaO7bNSyPsxE8jQD1fxH25rtsoOJBJ3l7l1hCeUiuxbiV27JyA
lMnX2i8xBA8/TJptxnK77kpRriY16De+39q7tCesqFBJsR07kd4qVtxFO+Tl2vM6fYvGB1PIhGDR
0e2DCIpxq/r6a4gjbBcHITsWheCBhVTbZcLrTpRyzgHhfHDZkLdM/VvkPxmJdRHghfKbIFPoS+Oq
Frg4fL3kW/GsXjTK1j+6PdNVuiXEgEMQO7emNoyYokzLw7lWB+ayyKtqWIi6KK1NldNGXrph7V3m
Y52e84ypbmaNZDBHc0gYLayzbTZPwwABQJ8oVepK1JCA+u+OxanBSs1sSVHFIakCVD5BT9lnkWes
OU7sNHj3aBFc6zPogvsMUP+SbOFgR1WYrmh3fG/MCEA0AgDo6eyvaCF27WA/OhxBhng6WbV+Qw0F
UsehTaS1rvFdeml/lIUl1nYlaKQkeX0V+Mau8zT/Z2gL69rSNfOmGbyf1SAZffLq3ZnPElmrKSro
YvWAQ9VFRgxIsdjq3tCuzahCmacC4A9kHX2Qf/a2CzrbwXU2aFrcJsmiL/uvovHswonovyIbSQ9G
1t3Z0Kx3gc3p1nNo5L/fd/3TEEQwbCE2D7W78VoZHtSVbsAa53KNss6YDrecAIZ1hQ7lg3HLm8Cu
56a2Z6FvZLhn09l+eWceRsdfTW17avvvzXOTfvTbH0gVkMo1qUEWEyxt2530xxAf6k719OPev90/
de8xWSNOkYJ8yzfTA0eoCeQV2j0nkDcw0GjpBfRJ37/Knz5UvsK5h60z+HyNbZDkXbUSRf2vcUgX
41eWHowjQ4J9ef9Sf7ohCZQYQgStOQIQX36oyTBDd9KeyRIR8yu4/F9tt/j6v7vGq+lOZCnT5m3F
6GWqi8mutwi7f5Es/+PU6o8PB8+fwZfD44Ey7OV9eF7s9rWp6l3JBnYRtLp5MIucbnnXR59DjVEL
+HP9KqjptZZEdWMRFR+Ndt6+epi5iHMjD0H3OL+8GkBIqySaoPAq/HOoTlSh7GVvJNUp1WKo4uhX
Vv/0c53NY64HRtLCiPD63auordyxFBW664FVyh5v0Ik4H6wnb59Foc9AXov+DrK6ZyLGb5NhD3LM
VCcpAi4VtMumLKIlGJ0TSqiP8mr/cCVuwrVgB+HygNn26itswESOo1vsZnYr09vmiL32XNbx/fsf
2x++JgOUjW7wXbFyyXmC9dsd2WWWCK8G2DpF+rpOHxFBL+Mkn2Huv/gY//GpNN8OG8WLS72a23JQ
RW4zs2HbzqN7l8sAGoGjiN70OnyVXT7djRaDaYsmaL2qJC0+vYZ3jeVeW6vJVOuYEdDWbDhLY7Gg
C5ZJYPKWG5cHJQZCbPpwuvBTikFZ5QJxOi1jiiu1Tk0QxHjv0uGyL1raWCOZoEvO2jD7bGTe73+k
cvarvJxqMsqkua/zAhjkYr16/dJ00iB0tnymTagevCyHbtu5n0bbjh6zqYUYlyLwrlMo5+Tobhxg
VQyu7P3MRYosxjNGVSZLs73LfKojZYdECGWfyh4Cg8/pMiuSat0kiKSrSDhE18VY/4O+6BZ1ZzoH
DZ35cpCF3DHg6ldKkf/HdeIV53jnhB3K4gtGjDSwXq+8oF9ieRhWkjv0+LRMjeJxavRvjt/nH2xa
b6eh0njWrzDuRWvyellK0xIFNq272e+/n9RkLJQuH6zSOgrLfFDR2H+wdbx9uLkgQwvm6A4g2Neh
q2VsBEDPvGwXVWAUO8Zr5eY5D0BAf/ZxhtOuef+7/8MtMs+eNTgkn8P6efWMe/boEvIh0l3iBXId
1qN9kYe40sa4aB5ikpF3VOff3r/mcxXz8nkDE84nCkmcOf6bRNJAG1PWqzTb2Whxl2HfAjMKDagT
YrSOYZGm96SekTYgOcg8d++A5KT3WTsRQUWFvdXQxYYffPTG25eAEHFeTSZlyJHE6/U4GKyp9Lsp
2zWTzylPBHLDWU1sGr9utqQciwXDCw4VFsGDQR0uR0w2NCXlR+G/4u1KKme1FEWKgRIG7erLFU6n
YLAzFWWoeWKCS55bfpEgbIK2Q24d+bqcvYo5qDN9wJKSstgYWsbqQoJHd92LXt+Mo0/Ag5wT3SFu
fi6SBpMErJd5mJBsqHetLd2qp5E+hTD0bi3tOFxzjJarWsvVLrSR1g1h66zc4GgWibhNRD5c5SlR
WIQrqekhdFvvkOrOFx0W4u79x+NP9++irsAtOu9br+snjv1x2ijB/afJcEswKMc0e4geIkMLN//8
UvQk2IHRaGHle7Xnp0JUFfa6bAfAIcTQ4s6DrqFMDl6IOe79az1/b6+fes+Y5SMYS01UTi+/11yz
07bPonxXdsTfLJCXjsxBJmls/bLoSDVNjaOBYelaDXjWTVMLbkylkRQi0nJbwtbbv/8LvV1sBL8F
YCKLipxTzbw0/LaT+llXITIZWfVjrTl1rIR79rRhF8SA4kGWiv6DL3a+wZcfAG+V82wJwKHrvda1
kObWdX2ZFTvPxaBFSzlbV+BwTrYo1RbvlDqFdJfPkrzX4/u3+vaREoh2dNsmL5iU3tfFSR0gbA1b
G0hlNI6fO7s3vlaMtM4WwKSn9y/1h5tEw0KtRTuHf14rhBj9cqQe23yXdTWDH6LwajrSgEkI6av3
rBmRu2zQEIyL3mQu8f7F/3CfnBpZxTBcwCZ/vX84SQD+oMjzXeMX0bbq83Mwp2S78Vh/sFy+vZKc
SzDDQT/p4GGeH67fHh7aXE1A5C4oaNd9GMe8X5kuQuiaV2r7/j29fUw5TCEHRfaJyEx/7e0tm6Jo
g65NkU600FRsessivgK0YG/orf14/2J/ui3BjUHRgg/3xioN0LvMwZNwW1YmdhqMrIIxKWOrJp3B
RO9f7E93xt5LWW5YzOxfL/QV8pfQbjPuTJPnUGgPuDJ/xIM4B739wQnrD9s8DlO2FW6N4tl6tadk
IozGXENrQqDrWtAO9nCewQLvJkhS5CCmkErev7k/X9HjoM0yzkv3arXTZOm4RDljMDW6Q+KVj8Vo
nEWdVOQk2ekibM3T+xf801dHW4E0bs5UXPHVE2k1dFWU7yQ71OCHMe12ED+vIlv/4DLzlvByEcNW
p6MAxBbO2er1ltG5+hBF/Ohdp5lzlHYu9+XAFvz+zbxdRbiKMdMOgBnYb+LNB4iWeRzjuqsFTTua
WaTxtD+d3Ma/qdAMuNNSjP+PvTNZrhvJsu2vlL05wuDoMXgT4PbsG5GiJjCGKKGHo3cAX/8WGBmv
JIolVuQ4zaqiyiJTuvcCDsfxc/ZeW36wSxrvlECvG4fL6xDywttHDeMH2WkJmlHfJhJFFT6dxqrO
CejyESIsFXN6mNIEtBE1miehuxCaV3W6u++nJj4WjMp3ikPfMtvNLchigN51zdFnPfSAgLbPUP45
n3xDOQeyVO0Pvv27N8bz19aOoGx6e2NQXSQrchlolWLqnM1+dtImWrm/vzHvrjJU4yiHwQ38cqAu
rYbXSCyLQ9W7RSDleNBzce+5/UdnsveWme9wcmcfcujQ/by/2m5hVjUe0IMx1SZanSg5To4+7X7/
a97bgSgzUVsDTeCQ86b+WTLdmIAP5eijyAIc3ZWfZQ+kkXXFn2Nm/fMeAR0xW0BMcFe2xtv+G6nh
zoimLKczFr2s165NnZuyjR5//6vee3iosBwIiMh0f6FBTF1eiQXr/aFIbQ+ysmCKGNkvFJZy18a2
91UVdXZEo9d98Kp6b89biSZ0DRBE/9LSoTusJ6Y15oc4Nq76SiN7Lt7V2UOdLXdsMh982nsLnqaO
wWJfyZFvryYx8qhkYTNDaavzPRQ990YZ5Nn+/mKS3fTrhsdFdGF4COAab8txfzDwATNVOHiD0h/S
RJdgyNAJRpk5FowfXYU734O2IXsyhOYqv7QL19xjRTS3C/GfzM4xCIoGChXJdkhOhiH7qHcn3r3y
GJnXJ9O0qX9+flzaqNNtXMa8bSaLSUjfPIvel5zivO6Yut7jMNF7dfGUnReVmT7kauyOEJ2+EG1B
ZtuaW6tK60iP3CfrQ6uBIvM7fn8h37mOQuewSyGDs++Xk3bh8h2w78uDqpaXehH9Tgc9JyNwa3J+
/v1nvXM5xKuM2l71+L+cZQ0xgx31ekr7SLzotFM3pa0/d3NRHVy/yoi3dPoPKox3HjoYpsLR+TSI
Pm9fv2NbzFMbS35eZn9O0lgLDYRJjGraJTDJtf3UtKrZIDgZD//8t0KWIQKAykaYb3dKC8th2sK/
P9CJuiQdtcV8UNzonROTCRw/zB6Uqd9/4nt3ckXZgH/FBcdW9vNi41khPtdq5EHTYyCEgpCTqjL7
GwVW5VA6tAl//3nvvHP4gdRQUJKR5b8+oT/U2mXUWoDmubRgMTCowM3b6I1sNiatjH/no3xywz24
TEiK37wQateC815xRBO+rK7tooFV5/bOWToI8cH29d4a5STM8oTruk67fr6KI6o/wHINZ5VyuB8S
+c22G7AE3L80bm48ghP+8eGIDQxLmWELA5fM24pUTIwTjW6hm2csyBhdddsO7QbcjPPBB72zMeOc
ALRkMlfDpLbezx/uV70QiaGT/IAJ1n6MJ4KSlub+gyVh8ne8KUN/+ox1jf7wGRDT8syy+Aw8CyKA
51qfOrh2t8YArSoqYGWksU6opGrrTefAbpcEuaGHYhw9eGQZKTEg+KxShtkWuEYwqGKr4G4fUrNv
Tzh4kxvDj6ewmsm2jGq92pcd7SROt3OI0heepE2XcNEnOP6iRY6coVC4pXWJnqwSBAZImOV7fWwi
nwPUFF9lhU51KNdY7Txtr5LJTfawEedjYaNCHc2kvBi1djwAprxPaViFXGG4OHTC2yBBC3lAf0lw
nVrqLaEwNnroXBGAZaahSsFG/P7yvrc2eYu7gnViMoV9szYdWH0QP1ibKKGfm6l/BuB3ZZkaqCNJ
HLGS/8ZjR81NscdwEt/Pm8+zk7lqzHiuDn2TrB31S2XkR9VXHxSvvw40wIBhDmOssXY63zLHCGNJ
MIr71QGdPCFDaYss0vva5J+Ys1+guQEwbHyJIb3//mqa738uvTyuKIfrt+cKvy6bslY2PRE5L5+T
CV4i5FbtBi+PXmyRBXHGaeySSJF8bDZFhQ5SGyo28sYYjzZGBhsm+tHUB/iavQVnB+0rC67eY2tj
SO9nf9pi5KA+oXbM3SXe+CAa6b24yyYW0R1cky70FrsJyIy1cvJYCTbN+D6bvqjBv7jiGpg/nMVp
je6xBf++XGx87X22dUl9f2iI5PjgVry3pzsr+N3HbcUNWS/ZD88vHnQbttBYHfT+eWZ2HsxK3+ei
Hz9YWe/tRT98ztvCaKzHspC+qg6eDeqapKwhLJNk+/sb/N4L0SGjgKkpagIHivlPP0ZvjBoEd1sd
GKl74UxAAYfxR5kndFO7+QNL7bsfRr+SM4uPd/dt2eu0bEYV4YpIDJ2Sk+iyHy3SZIj/RFmdfnD5
3tsIHIaavC0wJP9S/BbzbDoZQrFDm7U3Ruc6oYjmR1m03/oUa2rifHAlxXvrwuWUxAEWp6j7dgq9
kHXJ9aVOy4AzYGQzxMlbWnU0mDRupKklB6tuyMquffOW2J3kMMf4NmKZVhde7OU7X1rzJxfXEw6U
KAZQ8Ps7/e7XY0OkjUT/Fqvgz3daTVGnQUQuD6qpv5l+/JAY411hIpX5Nz6HhjxeHry5vxQH3ajN
SY3k8MBJtKab0z9Xs6Y2UPs/eJG+V7bSnMKbS/yCz//8/INMuK12hLz00GOLSYgJ8VR100r7lHni
qpDNfVn4HzQq3lvAP3zk24I1I7kNGSIUcXj1+3iQ33yrQL/vnFo5fnDmeBsIAKkQP5JwkABQPnIW
fnMu6pUHWWtyS7YZY/7SJ/V3lfoOsYHCC2nfxuGarB6W7MjbtFntFJpYxactukZ/7B6BCiePUQOq
ejAwZWDcw0qV9O1dvPhyQzRYEZZE5u0mV3kPns2uGThVt8IpOoLX8rW1KY3vujJw7JAkP9X6l0wO
lziua7i58lvqjfANZzPdDiCc7mp05bzsAXi8rqb/4Bs+wDcYVG3saP8zvmFltZ6+td23+WdQ6+sf
+xvUav5B0eyAELVoVv+Fa/qb4WADa+Ws4KIe0H+KS7XEH9RNLrOWlcrpYkf//wwH0/uDdx7DdP4T
Alh5wP8Jw4ExDk/oj5WwTzuWDNZ1bs5w6ZdOmdFgUjEHuz34o5aaYdWaMGxi2eZnCSFLZxOSjPEu
trEuSD1NhuOYVv1NUmtjuc9RmOdh244MT5PVFYStzAwiTK3EpU34YOPISm94EPT9mnOGyLnBngnQ
+jLOBYFKhEZE95NR2Z+htz0XJAlgjSvvKXrtO6Sdy03X+vfkCWRhQRvVCqRTRF3AUAUeP/62iwF7
JKUQW81t52Cw6Ote/+zn0KXIa0yN26pS+albw+Zl6ZFauEYMvTqVkA9Ml+Uku43QMLNECw9Y2Wn+
9w5Vq05cEbbEYCxJj4tHApcDKj9CWEfRA8Vn6LRYdPteL1S+EBa5Tvi5/2moaR1/WnGgPdqEZnl7
+p90UTJMTgvHjdA1ifgD2ayIhTCAzmSBU/ql/zhmSxOHVeHpaDf75cKpMVLRmSDOEiI8Sr6OJHiN
vuIiPLaRCkf5rkt7n9IdRDy8Hb+11zMMCmiFUYSXrQfK1Khj7WkYTMLh+owQZWcwxTknfV/fK1tg
xssL1wNTP4jPbbmyUPNJ528rymS68upC+74w8g4nE2FQnkzJiwbz7rJmaLd//X7d+q1Y2UziMv55
NIqem1HhZA0pZCvMVS3WumGY8aV59QIGlIv86uurlhH5gdunBvRBVOlIuPuc04hjRElyiAqRLwfw
Qa25S2w3T/fmslo3MpK3g0qTmMgseRxbC9ghEl2Id2lsfK41wtl3op7xELNU4Gz0JWsBZ8UpG7C4
8ekpqVudnW4t2vd3slyKhxaJ0l1St/Pnpk66c68y/ftsGUnUMo3W2UDUMU8g++OzqCF4g4LZxMuI
xALycBp6RBHC/u6BsI6SH5ktWADtxUAqQF4nQad20yuQUL0T0DyD4l2pee+tbraiMMzvysGBgW+j
LGUgzGUiSNtA7L7zM71P8ItJ/i6Uu/XOkY5B8oBlkhKWBmMr3Wzbk0FwG5X+fJEuKg9NSIBoo/Xo
onTKdApB+Xt7Gnhi1xaJ+VAAcd2X3qTJIHcSvyA3LS09qmW9u+ul9dnGInBOg+sR++echYBSkeBn
w6It2zEvLsoYe3fYUWjsUm+JQto6dUhgFglkkWcZoMSRp5PPLa87ZylvOs0kdXieiS1NLXEa4soP
BA7DbYli47C4Tr9lrL6cmDXkmIkIfAxVYZufJnpjuFxnOAJRiwZdkcASWF3Og2FUKYsK1vyu6sdp
a8gel44eZUs4qE7bN7XZXQxQ2a4mz8zPIE7Z170dG4DjR0zSutvpBKqVRZRhTfUhPfoNSmg16e7n
kTiUi0iI+OvcZhksbnlsZ279UvtkLTMp5pwkJHX4nJlOhSlUd5+Xxueh17J2qg6xLJu7xtfrbKtG
kWwHNO5poOVI2yZ71qFONQmH85qWgF7LB82x573RuDq50cRv9kGLuZpc43kRdYAr2NoYSdVtzaGy
BY+yrUQwFErfjI4znylkDjfJtHSPPr/fPBJFj0EfPcDqp1ji9jSQtBhqswOCC4tADhUAQCW/vxnI
wk5cKUK3qtuwLYzk3nFjHWpdQSvDaMvsbCSoaA7HNiWqBgd8ilin7sLWH6d9osdVyBD3WS56s23T
2SDUp3Ev5Txo98TUsfkPcCN2vpoyk49AMk8c3NJet14OAL8C/CsVmznkfHalzhmip9edpcn76Ls/
lfmpkKsJVeB7/OspqpGW300kVTy0GPwxixAKFIyGxKRK7jaJRNKp9lPM9gzay7B4HJRxS/oBH0QY
5bQhpJFvUmAZv1C6wlCXKM2vLnnbz5ddi6l4IyVaKFJ9lovWw2L+n3Lpf4e2J4brt+WSxF71X+Fz
K4u0oiX/I9v+9Y/+XTLZEKyocZCY027hgM8R4F8lk2f9wXyS5qouoIej2+ZA8nfEvPMHLx862DZC
PCQkDn/q75ww8w/+q3R/OV8DT/Xtf8S3R0r4tmbCMWqiwGFS4mEVc9fu4g/dBzefmpJgiAwzGp0t
fFtM5TYYYBpkHMhWpm0/1rh9PN1NnCPhYbF1ZBPzPTDCLLqQCW427dj0y3wrbUx+MBaloHOLp7TU
sb6Z3UvJ7O0c4CbjcdmLS+QG1rG3BkiNs5E1TwXPCKWYAP6rskJjIy0oWZADeuc+gVxPVefVT7W+
oJ4Zsy7FAVYJ7xzznfVMqri4pO7Q6F1WseMEgzS8em8UbtIiM9XWP2JGhBvnwA+vjab3H6gc+GDF
XkUaROdNt6j9/IcyFdMtVizzGOUl8F4TtxgGEaPK5UliavZOju92L52ni/uiKnPAlUmlhSRRF2lY
Y726novJHMJ8gK0b1L7VErNrxO1B5wB9T+1rP7sGDVIpteFgjon5aVEegAJTtofO1GVH+dSJy9ho
+P3EDUYPmYPELiRPo+4C18+6juyPpXvJWvq7QWVJ4z7lPPwEulofg8ls+a8B7JFnJaaa5znmzyEi
5gvYQvFtVcGn6WZs3GMxBMk+mA5ARwdY2G1r5Xyml5v1U5GB1Qk4Bi+435RuXjpWWp5ViZtcmjkR
Wd4YiaBV6XSR4Xo9mjiqjlXq8mdgAnE9sVRlCKOnkuBh1jX/5q8bWuhx3m4IEfIfDChoBZCZYbrm
lnbdZ2eW83SuSGEUmymHa78hQzlPb7TS4CfIOeNvqUc82kRjo04O7WLgumDT5Tsm4GUiesqWZkMl
cmN0Tn1Jcky9gp4fefNa5q4oF4qFUS3fk2jgSuhj5T9glLjtl87ezbTBrLCI0uiBcie7cUciIwlb
brSwFqVxXzEoeJoSta7akoWeT9BTdnMd8zctkcE/XRgUKd+ERdTr5nSdOGtmo9uPrAaj7bizQBdc
c0uxZTJVFIN1Ubhu34QkZbH4NKNINtFo8Oi5qu5fGCcTs6T3mPlB0/AQEl/DDZY1U24AnHFHnZbV
hKRWGcmwYe7zztrSQ2C9CR7Lc0n0i8UkIDKPWjYaZjgrk++dLkOK+prAO9BJcRUFlSpZMZEYupcJ
r168rQiqjnlxs05mf6qfhvUW0UYzj6VNPrYnOv6yvtHTPc4ef0tIU4pfbfS3tSXqp5aw3ofXJZxq
LtcXt/2ZXB928Jj1U4T7+1aZA5fklYAyMQm5JpVFnlkJiNbdKkh4QD3EhetlbZphXXgsmIFs37OC
0BlWwPpIUEKmeyLouHgzQcr7Bs/NMRVp87S4bXto7BoogTM44t4iHe1By/SRNPsuS6i4m7jE++fy
cDoSwN8Cun9fQF4ZgeOX/Bw9tY5ph6Q9aLCV8TzoOgtMM3nIu3zk+jB5E/ej0fOrdfJ0AqRV5tFN
pH+uUJ+fL43DLUQHzt8ga0HoXwG/zgsHtwOAkzUjIXEaMw72UxomG72o3YODT22nF5l/bjeTtjFV
orXQS3J+r8kAVe2Wbh6Src9DQexIy3EkWEx2rNKQKrkFQFJfkP/nb9MZN7w58yyvyu2jV+Wavy1F
wd9jEQJwJIwJBXXPlqGTjHGP/X/gCpbWdFuz0EkMTPLmKdej5gAEI96TB2fcuyZr3smJ9SXNjcHt
XedDBDtMA1ukufCDsVuzorAHcqMKQxP3kb4s9SmWrj1tzaoskhO01nSf6Uu6HywD7+WouEtFGmFl
BnrRbumfsqYovFngs7NwW9uusJ91GnFpOFVC3DcDSrHMnhVx4m1p0k3SJetFwPnZyopVqjiRO0Hp
NOIylb64L0tA87D66zVryV9XjitgDJysrOWvN2CGv8Q5esg0sVndDJLvzXXttaktsjMLkf1hQOfY
7F7XvGVY/CG95zeHRrOu/4HG9+WQjv4DExwIgdgo+IhRiabHY27nE1HmHftb22EA4byyrkd/7ryw
bjz/QTMXbuRfWxo2x7Tc1K5iKSEBbodj5nVEPjVEZLTbmrP8teXwdOG2AEk/KC4vLJzd6xNXjp71
oKp+AqHR2G2ye91ZpUyYdKjEax5EalbVA2iAOX+0oTmnYWGtu5TAQ7W3kt5+xg0J2HVoyhuB/C4k
fP6FCEL/2ELUW3m2+vpyjmJ2YIhe4lItNhsZqFieYI8jsAimJKlEQuxVMh/YfsxSbUQ8UEIEsST1
InTk4p+VVdcngeFGE7568iKKmyWDAqynnNZDcsDjB16lAAqhiXCLQANR7Q8Tey3PZLtJ2GJkQFQd
lGazaZ0XWZUPMhbtyY+Q16hg9tREHWK29zj8jtJfX0SdUxX3gI7rM94x3jUkXz3i2R3NHf7TFFKS
6C/R9MmzbijicPTi5FPqNggg5yr60vTGVjNkc94R+Rq2eEd1N+MZCIZSlJoCwjcfu2Soz9zMB/F/
TVCiDMnnfCR8cYe+rdlpNE+ua2sMsPvcRgYg8sfZKWqN94QsIQeTeliyq2Y84ehDNguDLGNT6yTz
YZJYqnA1X0INaKwsJBi0PAhStWDjWLUXalZu7vLKwCDupstOHyZ1srMkz0Pwv/MI1YIEit3sYKg4
+CxLJnrdABDZcBP/rDet5cqbevfUZT6vuXTCBzZpNQcrJT5ZjMwuNN2prtIl906uEbF6hUVRknhy
G2NS4igFuDIg4nQ4a6cRkDHWOzPogMs8F5bMPs1u+cnK3KY4h7dl3TQ5wjut75QXWkDMdt5ojt+7
uYXZ5XGO7ZQPIolFtm1sN914HFR3M9mGB6bE42ae+nILcg9gnAUyKRjMLrvw2iSbL7hezkvWe9UO
62jEexznV5yqTwz+6l2eEkyL9+fLGE2hnWbun8Smz7eJPVcbUYAsNlfXlNHb7U1HnDLlT+Vs7amc
vmaDcQ/8hxwkwNkXXposNyXSRShEQ7mTs2btI38k6sVPrW3cdPeNPxCM0zpURtuubORFv0RsUXlJ
faKSehtTN5yGshUno2u1g42Z+Jj7g3UuzUUHzDxVtCMaDoYO3aCpabyt5sOKy9ixiGIq82tI9MTU
eCdtycUVLwFy8Kyx2uEKc45Fa843sTRDszKrg6ExXAeRTM061yPZ8/5wsHNuWJfO2lMHlHqT1a1/
sWT2DXAUY9NXlX6b01c7lwxTPhlA3s5xf4B01DxkUYGidv2zH1F8biIIdqd+AkWSpb38nK3Z5wGs
M1L4stLI74028g6uMrVLnbjQkDevu8k9aze4NrGDkB2OSnfdZy0vP0/a2iIRbkG4Udt2O81l2QSz
q/TVRTLsAWokoe3lpMYUabxZSCTaR3HSH8fKfqkTDElGL1Qoar1YdytxnLPWfIbhSPZwJLvpMxXx
luq6pRJM9Woz53q+7Qlnuo8adhR2/haDmhR0NFLDPejdZO7LhLyaziClw1aFUOfJAMAuqM0h8wc2
EljvqJRs/XZUeQGXwi5aMlPdhlbFLZxTJO4iK63i4C7dGL+w+ce7JDOaDdiiehNpY1WD54lIeoJQ
Eu2xwmlsTMgc0TUM6kHLO8PjtRcZDm0nkWzamtzQLGm2rtPKC8R06QYBhnqosUcdF4fgXR9xxQ7z
9EJvBi6Cn7npzoG9/UnFk8cSR5FgaaeUzCZSNvMBO/1XJDfxedyUl7SPukeNLNSzsvUge1VdyMsr
uisHg96i6pwWAp8fEQHQNHP62Dn1oB/LnJ7fSWvEYgwHdi2fvABzaBRIcI3KKebgFl1Fva+oZoms
AiKSSu8pago29SiDjDCzfc+6T7CpaBfSTbJMMk03CkvTg7gjGJbGuq0P5pOXlLx1jSEDKOiBrMNZ
qCK7PGv0ln9PsM1CArpd9h6rx/DbrT1QgyZQ4mIq2Y5CxBkt3k1pUxfzSRfLdDsbSqDJ9hlLNYqy
HLhL/cFk8u3A0Bc01y0PrRleFo7Rb8RfxEUVad2n2QHkYNFuSkmv/XGxlqH7bM3L0uwssBntRlYE
xziBynn5/tByuP5rsvFfkAOumdn23f/9P7/4iPgGKMEs/s+aJ46R/efDu0ocWCRGHx/syffiIKq6
ON0MvohAVGhdElNsRvU+NdMkPgMouVTb2umiy7jqESrrg7gkToqq8vff6p3LwiDIxMYAlffXgW1l
DhFtRguGkUbp10y8/bc4fKhJ1+AZ8lQNKp+hXCiOtDGun37/6cyM3gyBuB5o1tb/pQRHGfXzNalm
N8cKv3BN5oKjUCaamQSajmjzjBuSzDa5mqbyzPvcjbSjWMtvfB4WfUOrqY0r3Nc02wBE9HFy6NcT
dN3EVfa9i2zOMBURBB9crnduIhxzxDhIQXGBC9f4+QuPfpxCyvTQkUcjAxr4ACBWEycnLKu1faAk
8PRANk1d81xa+Xzb9PQqmoSzfCqn9rasmg9Ea7+YMhFuUANZJmoRl/n+WzeKZpMdO1A3MH1h+BQ4
pCDe9rSkHjpaPB2d5/X4qwyje0HVYh7rkfNFpWRbIOPilRx2Xb2ewbiyv7+35lup2/rFHAspt+PR
QkcP//Olcke9BnTcJIfaialQSf+RxRD4CkEbyN7U7Kq7Oik86zhLytbNRLpofhotY7wdrBG0YjIq
/0HXaYsH1mtdLHqOsVrKIQqBBOV7GhN4UERyreHXXk/l6zzZWhnRLcnddhouZhqDL38dSsmvmm6H
Ze0CVHM93SZRGiOdz6C/rXUcvHwoccBk6B0HWKM5Af3+chi/zDsFWuzVZU/fwFph6T9fjkRoTTqP
rrY3E5s90JBLlZy8YT3qVAQs37Px++ez4Y3aXWUsNE+mMuFrzemw3E2+w9WKTcHpxF7A9GaFxf/L
xeKfk1vM8fa1PWQa9XqzIYdP54Ma4vQgYzpgMFDrMd7GI5jmZS75dNsgi4XoknlkhXAgeHn9sf8Z
3H80uEc1ymPwPw/ur/LimZbdzz3ov/7Q3/lL1h90jAWmOcRl6+Ce18S/etCc2IhZchyX5vTqdFv1
Wn/3oN31P2EH4JEz6Br/d/8ZcRceWRzb9LVt1/snM3uOxazRH2b2AoExwjdsWnwDeqFvpbjtmHvV
5IjmZPUaASNWseupVVBX9t6NnVSJPNp+rJH4SwKNvYXMNWifOMFmL/jGDTajSWvJMwzLEjIr+Gvi
b+6HuSnOyN9Ls+veqdovjILcJ2i31SkRcXHWq8zY+BpvZrpZaXkivY84sdwfN/2YVedZ3Wg0nZNa
XnCErJd9OYt9rJgFx0ti1LuSNob/NKaz6R08fSXG9c3sfB7VxHlzNmyXwj1NzrN1tLc1XyOW/bj2
0udxTV4eXkOYZSuBJ9TdkDvnVJhJH++0otStdRaZJhOHMmogdYmJCbn0jly3pb5ksMTPTaauBZld
zZkVHfqOw++0LWWjkzharebeImiMCJPzJh84Dl96BonLUCULrmcTpHM5UKtFOL7UZhhHl+y5JBL6
V6VQWy/bPEltCnKKQ5uytcpklIfl0C4wJZ2Bw0ZAYrVWhlPvW7TIYANAXt4Q4mMtYe7AFaxDhoAG
rh6EDINcshdORXNng/Ms49lmPk8saIDQbYzBgk1Re4lEQDvqijhKHaxjsMD1C9RotUHWJdUR2su4
Rx9k3OWaM3Bk7vQlGAnQuRGFsndApudnt84I6qQnjB55TpiNcwgnNCs/b1GA7GVnlUf6kMM+r8am
B8wnHUiYxXD0xolk6gRZcQm7lG54fEVbswL3V0wbdPv5BtiEGWROLKEA+NFNW6ryMaq0Ht5FBBl4
0cb6ChTqp1yW8Y3JqfBaJaN7U9T5+JQwot7E1GGntk6mG9aDpHUj0wd0B9F1Ycj5MUd3YoRqgHUb
ceDeKJG6l76fRw9JPZmHKXG0K43aqQ84Qfq70W3N88iJij2MjHTZCBdk6QNtJTugqel8ahxR3dFe
zEXAywq1tp015hTSR3GnEKntcqxaxkyB33fldkBRf1TT0u5VgS8CRph55i/uOv6pbXVPvQnq2Kvb
lQdG7tJ3oSx8mqa70E6gvVNtc141MIEN+7pNiZBvlX2fkYzZZYNlBpY5ueeCHjl5AelSVMzAh/GK
YYRxJqZJYsbkeNVnM/d6KLr2Jimc6qHtpmo/Rm79pzKSRwGgOuwLzztxp8stagUL7nsNRIQxyw3U
uuRUWVN7HyM3+DzQVivXka3xNZOtfqYtFcf8pjFx/xSTv4O19I043eggbIa+Cbxv7qCb3cHTHD7r
TlY8zvmSPpqqT+3Qbrz8sdEqf6PInz84Wo90HXH41sfpsUtr50zJzAnR4BR7TqDzVQWI4aSmjmzK
aqY1Dx7M164E+gcY0LA1AyLx0usqyibSQeupDQlVN1nFVAro5qciSHsNvqrWAOBXQx2qCMUC16UP
XBfZZ6zpIZlnCsUS2CGgGMaD5WrmVa+1n9KlvctqzX2BsJsbAdm28O3p97kcseolu3fbzDoraWef
671VB07WRRs3jY++1blAY9uGR2Po7iDSFxta0fKrMxAFVatFXpuRv/zZUNI1gdBI4/JLVZ/FsPY/
xYllh06zuoRV2cwEaPrxBW6c4am3yTWDiRoyQtNDGhdigZ/fnoa0jp87bMffCmVAHhqbc2OI1NZ2
1EQgw2B+NqicDibyao9YXjWfY3QEspM7Cnxfb+DByq0EDg1N8h184ZXyonvyJmcoxsGzF1Rsa9dw
7FIGG8xyaCcnpcqmg5H0061Ua12Tx8q8G/vI+zNXJdXdkK5dXW9tg5KJO99aWkRDhGbD88C478x3
EG4Ec78OJYd1rBOLKmKi5iUkjyqL/tfaO545ZF26dFxmeNomHVCTHgGNF5JrS48mCfkj3rkmDHnZ
pfggfGXLsNcnZPZedSuUMx9jLUKPTmxaGGfkWdK48fd0LaZzrV9FPl5N2JVs7e9Ss17SujHOhTt2
fTg3IDsLP9s2VOg85Fp+oabEu/DNPD/HludkQbZ8TXTixBsdMqU1TZ+k3t4R2aWHngBZUkUcZFIE
S7sUf9NeTxf/phGt3GqOkUDfRBJ1iLXksoAXu7OGNNq0VSseU5zq+4wz+47n/WuGD/i2MaD5J00h
72MX6YdI2vqkMoIm4HnaxYUtSYizu2q8kJUer0JXUBdO6fR7zKjyhpVbbirdV9cplfVLM9EVQHEn
Csoey3sAu2Kd+IbkCquaIS/AnToocru8LiPN3hUGMFdBAl6od+BJ505Pz7U2dpGeVnLfDxNI8mHq
n4yWqOvCk9Co3PxL34k/sxVTtPB6PB9VGRPbRooDeFqSuqtO5hsKZQPL4NR9F+D6twP42bsMQ+v2
tT0vV3m1RSN8Y7Ya2SGj6C4d3SXDwTcbvgWmFtjEJjDDBaozo6KS9m2baEdF9zS1aHRV6s9Wt4ov
DcqgHRKn/KX0wHrOi8599bwviVd8a/O0O5oar3vdxUBNp9/l1e0CY4fBQBxBrx91ivYNo3Njx2BK
nC+1ln31M89m73wFH1casiNshVlfmLQis3RX9yDMBgqS7UAM+cG0JDTricoLJ4u9z41kPEtLyVS1
mOis9ULTNjoNOlTmctya0Le/9rZKQ777PVHQIhwAcB7UaDZhal8slqoPlVXmdIt9YyeF/bXR65th
AAOGvygL4cPv2aK1YDa1z4KYzQDSaAq8YaHCKHRnm+vy0q3bG1cHtNM1+0WV4CPLHJtbUt165Mie
aCHFO1BMXoBYySBupWIYB265W4p4F1nFhVlq2q0Pnn9fOIN/sOaMfqJZ3iBluqb/luyQ00FbkYgG
nGJG0zmIDQGfxb4jMBEzEZmKViy9wE4IVKlGc2ETds0rracBzt7u3veWkUJKIXoYh8g3wNuI5WZy
3VNaowFTa5sXWZ7wPjAHbLjC/5qWM209jeUnO+3gTGN142ijx8t4SYLRHkSo+/VwnMrWP5CRqAVx
uninsp9vsC1/sSL303/OUv8rVY9lO79V9Vy136hfflLz/PVH/nWSwnD5BwdtnyaNj28Kw/V/n6QM
6w/beWW9ECKHGQX7wL9OUpbzxyviag1+c/8ljv7XaQpxNNQ/mmSry5KTvO7/k9MU8Uw/n6ZANmB5
5qBH8838f+ydyXLcSpamX6Wt97gGwAE4sOhFRSCCwXnmlbSBUaKEeXaMT9+fk7qdYqiKqux1mVVW
mlIUMflw/D//AHfomOSf9wNauCFIb7BJA6/dgu7MLdS83LvGONpxbh2vxcOKtPmqI3IdZwOXgjv1
tnk01tN81ULlhomQa82ISnMl7liJKAD+dgERcnPr0YbV1B507WtlTjcKu/OX0mzgpm1YHDC06azE
ZwUfrJoOS53YuT9i9OzAmUza7KzMKuuHiDnWbZje/lfDpjk5kwZ5JnOy0Oo6BqTATuHOxTrnJF7r
NRRBYV7TbK61KZg3DBxwOlaYtWhgCq/CMR6laXz1Zy9B2UxXBuarvMIBOT1NMdulT+2kp5JJ9mWi
y7NzWJm8TVd5yV0n/TwJ+3pebkYMdoOwsaey24mGJ974w6r8XU+GaIgHcXLeckaMxzTeQtDzvqbT
qB57EqyzK9emdQ8rSV6nrOg0JdM5od9KgNGWoJsk2ZDIF4yooOAG3EuX1ImQL7F8ihaWA4Oabdgs
cxTf4zKCPrKvF85cC7d/mnpRcr5OM62NNGWL9pzZfI0Y2gUeJl6E5GaltUeRyxEU6Kv5e+moLuO4
zagoJBa7Rl9B3DJcH3vhMlr9az+f5EC8iMOQyHDLzzZyTvo1zNy+74i5l8tnxdnZu+FJbHNr52M5
h0GRzGEKRr/rTUqi0siSH7IrMIjDwf3Qp86wn2Lhha4mog51Im/b1aHfW4HNh/aiqNO8sjtbaodI
9LK1bg03mHbVWHpnkSMXQxuuey9TEwDXMWmuQAlWWI5LXSZYFBM5YOE1bDQXTozV76VZDaZszpDx
TX7D8gs3zN/pNkyzLceE0FUnb4EM1iq1nI0paARjEe6nurtR9s4FvNuKFhCtax8n/8ZyhBOWK2/v
dujxUsaGeJT3ZVPhgSyNOWieim6UaA7r3gyxjEdP25maPiXmWTNV7bgn9JckseDCa+LkpWzlQqRT
IQnfKbCNNi5Ggmd7KA4zJaDhpxdjpZJzL6qmZxvFGIVtP2HZ3lTlcjrHJAHhP26jdjQKz0TPRX4H
DlnstbgNWhSj24lADnUwu1LuqzhNbzARoMhO2hFab03wLDM78mljimZJVYh31zBtmwh89mIlh7oN
bcMR2zrha4bNWI7sO5WBKD/jzBLfkM2TwpNlE5OXRFQAP/Qu/tO0fMMkRpLKiHMIJMgkxXlhyPTK
qOsCD+8oKjjloPWkBVL40yebhGjCaPCBOXPM/m6dVUaMx2B8M9agYk4ZXo1ztJst7pWqRb/uUbqW
ah8PS/1pjmqTwAI6ng8r1Vl94kRNV53wP0JOCjCkUwdWouXeaYO5PrXxLqDwgITunRRmYk+nr8Qn
UTfdDyyDH11s4i9E6vbr/ZiTRnGYctz1T7tomUO/Maxz0fcmxpSZfeuAX3NSdYKMhLSY1cwdkKYS
X5SdrLPwzzK8kXPiFox5vpitqT6XgM1ryJWImfUjkuGsOKIU51vVhDutWWivjrjFNsoc92JIitAL
Mvsctm+wE35GM8RINV3JSWbrgZjkFMJcYfOdcyfOvnatzJ5hzxuPoivGz9S2Y7frasdhrjkz5u7Z
KmD4cDo97Qix2hJpjqu8xzmiO+cHHFqTqLkKMFmvwcMdJ+UyOXPo1mO6vSAaaIgHWgqHdjEngK3d
e2bMObWLxaYamxF/9E4gbiYAm0yO2i3hrNVVMxCHRG71g7XE4glC3d90UzxiSV5ZU0Fl2gfPn+St
56ZWGCv64cpO2lNMJqQJuwxqRWG4GCDXM6h5FfXOVVHaw7gBoSity6mriZtRq5ed+G0tPrVq/gRL
DLKDwuXUCq0U0GU7jqbqN8OYAcSXTWldrYvV35VZnXGuZv+Kb615jDqICk6xrMR8EXEnoY9wuouj
M4gJk3/l+Lm1/5966r9VT4EMf4hN33yvSMUqxucqfY9Pv/3DfzjSzl8I0H0Lo090l4h5qdH+4Uib
f7nazwOZmE30GMKyf1VVNlUVpj4mpc4brP0vjDr4i4Ya6DSCR+J8Nar9b2QDv7kE/YJRY8CuBW8I
1jEppQQ8FjUXJatU2ZjLwZVVvoTUNgxxt5jElR3NdaAZepYAgk67cj8prw02dt91p5wQiT9acTvJ
tklh4t/Y9qoghDJw4XkgBxnCLvjWgEpcT1oVAdBshk4KlrFZS5yctXayp9e+OOHqFTbQkugt5JPr
Am8HzARUCsLAeqIRBgC0hV1WazToFpmcNtb1MbINOE8ObOhd9yrsYO9q7+HiIvcwX6Uf1qsK5FUQ
kr+KQ+pXoQhFUh6SSRmFQ1IdUqJpviMui79NWmMy828+uUudDaDoaFCSVzmK9SpNoclJHjomQZAx
tHaFrnRxPmo9S1on6nLUGhdLq10ik6PaBp+gGZkttVUmycEFJ0AjM2u1jAF7F/1WGYA9NRGSCa2r
8Ttes2VImCTINMyzyouHXSXp8tpalWMHvHlSJqyzCfeJG6XVO0rreEyt6Mm0tid5lfmAk1Vn9CPY
q7UKKJ8SuSfs1VRk75SXlbRic7dIDyCuy1nKtxU0LhSO6mJAYtS7sbrHJKtCE0fcMl7rEGcbaDEo
k6qO4Je5yO19Ngj/BBpihoRpjaJLGu1puAgTQL1GquG6Y39HHruPAY8XuWfCIKCPnbHaYRd/J8cb
kjSrsJ+c9oTC58YZBiKEqA2E7usPnzW6+gghcr4e+8zdBqVH9qGvtm6ZGxuZEOuJSWtxBishugia
rLp1QQAvc8f+OwXKDeFT5CHimmVftXF0vwxuu/MMFyk3kXFmbaltnmfZXTS05vVg9DKMoAifxl6N
TFL4u9KZQHwGsw6jtS5xXRjr6JAFkbsnRj7/QTv2mxUFxp79KqqR9BXWHYM83vTz3J72q1VSvAdi
Z/nuFOaQGkKvcm9rRtsWj4RzbE+TTem3Xkg+z6cV8cAG2bKxT8hI2Lh4FB+mnkIpHmLoWoOVnhWw
wz9xxIpPmyJp71yiWC8XmshnEkZlmBnJsuvYFuBAdvDYx5Zxw7CdNrO32CfNkkSboUrSMDMdSu/G
G9wdOhoIJJNyN2OcOnVM7V0usfXoR8Wc7omKm0RDxbM63hBmUxIn/t1EZjVxnosR+MO9befudO+y
rbrOxoULZz1ZDmNhZ7pZSjasKW9hSkbJ37OzlkTAYZ4p9lVQ02sv4Ddz/TG9CgjQ+jsAmzeJoLLA
w7tIoGpwrNpwP+HCV2WnU6154wWdFp4Goq1TnXRQoMb7EV/CCd1pOgCXxbGRiatcmGP2mVjBbq3C
dcwruQJA96BcjRes4djbMysbQSbx59JKY/rBiUUZnBt1yfCcahRgM9ouDnVWOvP4PvZ+cVhkFQV4
WwqVxweCDZ3PQ11N6pvMAyv3PvOOArb4YlD1WaoqQf+gijhV8l9elJ9mZk3E74Z6VEUPVT541Jgt
h94tTi+0RGAVz7v/2an/Ozs1dmPwYP7rJvJ/FKRYvtui3/7FP7iHHfyFyQOsGu10SdPx/+EeICF/
Odr/lZ4iS2TwC+whEX5DTzLBNej3u5aWPv2EPVz+SitHfe3F67CB/1sbtKA++KWHrG/Hwn4Lm1Yd
X2L+Zs3BaXcpSwJKvyfm2mQ/kHxEwgwnvAZahYk8SWVPWRGnat8vWO9DTwFB/TZHGLxeWDBaYIY2
hgMenrc+olxAPnanZOMXaIUfO5Mj77LtnMZbYepBZhqNLWzWlrxOUQzLKkJMh3r7mg2ikd0mNhtj
okM9QHDHqDPWYZ9LkILEr4Pp+icCilbrkqKXkV62LabZ8KN9hbCpSWlxJXQY/8ASOUrUAIiixY7O
zOc/wEP2sWtf3UMSU6TOfW/6aQyKTRnLRHv4U/Lkl0HsBlxyttKq/NF6SCIfEMUG3JqdDB3PU1mw
C9/wx/86TkFzsP5VUHFLkv4I3DnX15AZrB7+/lfRWWbPZd138YtVmG5+2ThprLXQQ9unJ4nhpVO+
KWWaWNmGNqk/IHnBiVtuMrOp8+d67pe23cgBtAfjcST5yW6N4nUI12LmU+wUsOr6lHQeUZo7b81b
72qlHcWPlbS+8P7BIWYAR/9lwty83f2vZDzNtfvlmQD29BgMwP6oWHG0P6JxEe80p0ZeVN/NCeHq
vVulRn1HaVSvNx9fSPuQvL8QHA6apNhn+ry8Y9OQBXPVYEVq9QKDy7bI0iQU2gFyM5nhs5CZcz3B
0xIJ5FK3MBRCpliOd3nqwmL7+E5ggRzfCaa0mCSTlSKpxfUr+eUzWoAC5CBl3svY+5135WIDQCRG
VxpCijOkSqvr/bsv2cUgjqVEF+O4O+pF7dcrGhZQfI2n5LdiaDvEr3D7jDHfjJRx/2YCg8MHZeFy
OFow4HGxPObl2WlV5E3q2i+zFYNzfSeiFEDvNGrgfqNzafUrLqiiII99/Fp/G0kgt3SF+T/MWlh0
j2hdHPn7Lsjy/ttsBtj7bjJS00bUBAaR8H94n0cmQ/ohsTWzMRQg5YbF+zjXIqsxR51Gu3zpC8ct
5SENouoRpzXWKPDLOIqb6zlYI7O8qAmr9sydOyb5+pT1ssFCoETNM4PrZQj4b8lyxv1jm4yVXRB+
F3f+csDWwim7w8fvR68O7yYAFh+QmDDOefUMOV7QkKj6sNbN6lu1qI67gB+RZz9Ga6EwqpFZ1CLE
0b5Wf2Rq/v5hcBjhIArzD/ITJ8H3oy8ia3EGdTa+4o9g2esWVW0KV1P6TdKZWwsApy8OTJNckupd
xHMdtl3XBWCTxmyPD2m5Tp3GI+dVfYXDrvnUlWcv58hf6FGHf3hL/vH05AYlhihME4JZEfceTRY3
nmBLDl39FQQUqGyTkUS94mwwdwyqdTGxwqfJ1vTelSGilNnUV47DZlB5y8JiGQBFLd8YgGX2w+sx
cdHbn5Ov2IlYSD5+vC3AAHSsLu48xN6nPg6gkJM1KHNGKiYAPV+n6jgRq7AiUpkvkiAKY4mGnJxw
QXuZC/82Sho1f0ZvQQmxaecVG6HQzjLBIo94zGuzve20iMA2bYL29KbxnKz87k3U/tZGqKhfb5j+
gfuJFiNDs1vrjHu0dP4eOFiFJwhqRA5Bu4EafX1alZDjw9i13njXY63FzyZVxgqie5E138xOZpSX
G22Ujo9AJhqDiR75/A6x0XF5SbxfkoozCzIW+P7txgOc4kdST/ald+KOc6Ju1SRLNrOlnfEM2/Yd
+OUCsBhwaRL2An4cErK+mhFTgF8JxJzt59ZPUa9Gztiml4VT+cvJZMGLOU9aYxnO6GYDSW9nP9Ir
X0rbdzn3xz5hszQjpffM1o9sZlvjt4rCvnZwmiG28e0B3EwlPCpgXOBlIdR/gxfqmhXDr8f4mUWs
ILzRIIehp6GJVkI2S5lt+ybPun9+Rws1jgZJGrlpsmXIgbhtBLQ83sEA1s6lZ4J6srMFBNaDZf76
Vh38UHhzug3BD0yTSvIzgtkHKKdkH+srwvygaluayOO1NAshyQtiMkMPlzpQ7Foirwmw3mWRl5V3
qMVqKfcZTnoMl4Z0eebUWAUBoya2u4JvJmZcLH5gVmRFcq9ilfvizHDmdPnWlkCKDRjkmHF9l4UR
U0CfzjPvZJUDfJDTCAMfmlL0t3Ttllkztm8clqkWeYgsaLz5shXRWMUgHPpIBqFtZBXYIXAYeZja
jvT47UTr8KfYF60Yz4J+JFclrOmCMBUGDtH8yYiVZO/qIApySwtPz/84DZm+FyfAPdrb4qLIFFz8
NmekCCJyncOILzO3l5Wpr+u2CCwjveoxV3U/pYPDH7YBaVvcVgbNimdsx5I3iFiMM9Zm9aUecwUl
IMx4hQ2q3MdQoBiiurQeH0hl5/+3ll8wgWUGwfCK0nGlynCmlHm+dAt+GJs1ySnEYJh1eko7gf6l
dL8svoSLQI7/QsAsxgeZ5hAGd0ktmx6d4Gz2Gd6eBOXwC+lDdtzfSi2mR7VIU1KMmzxYLYJx/cKd
0XGaDwHMZpiZOv1Lr0z4umfr3jONvYvWtRF7leNIYIaMbXTUMfzw9cZdlpnh7/c+AoUdzCUcAikU
ptq78sBdckxETd233Hr4VqfXtZWkEVhTNugvjD3LYlp7sMV+NFAEkz5MOG7XqrrHYqTvjek8j3rQ
x0Nk9Hyb1vHJCX+uyGPiYaB54Td1H5Rt5FQwNutACxTRFk/FjoWY5WanRJwtBI02Qx0Q9UrdPo8b
REAKuyCRgZzFaPFZZr1v6+QaDvwACwYDliQZxDUsTboE6WV8kdewE+SVmoNeD54000uKVNPSooPD
i4o/oRDsGUORSNs8Pq/ppfJ3rT0OHbi5K1gq+xYff9LVoWpB7pxNwxraq37ybJbcDE0jX6lC98Je
UC8lwNE2aE29Cg68fEaumTaRGvemaiZ+kiMM7jUb1UV6XcpNmoe3gcp0RZg4Q8zy1DikI0znKjFY
HUbeInPBslXPgBrpOEDl4eu3mBL5S8xI94t+5caT2Ri4tGOhym/2LJdsR+PSSHb5MkLKjNmjU+hN
VqmhZTjONCBqg025W1gfFj8xnOsZyj9yCpYoNMyYJpK1u/Mh4XYArbYusUxjypdvoE6cRn6eQ1j1
9cuZavJCg5McwkmLSiDJkLudDtm6dmAgCJXClrCxiL7yELX3Wmu2nAN1Fqz24zJJ7lhiWMpbop8p
mdh4EVFOH3wkB7zBn8O6TCf9d4tDO4w083TWhbNX6w7klrYhm5ZlMCoFBJwu6Ig6XsiIZX4aKEfU
1vFhBeGxk1iyubJTlt2wR3ekQAJXa/G+kARcdPdmORcP5MQEUBK7rk3bM69qRojP9Tg032hFtcZ5
F5eGcxlxp3QJqyZtv6Ssues+J4m+eHGyYu3uypp27vO0Qsy8hq9bYBJmFKo+b4QLQwvibxW4zbal
s9rTGZ7o1l0h2IjmeuOVZmldiIJtdRf5iu5jq4WfLPKz3+q0pWrsnHkbz/moS/q1m0hop0Vc2MGm
6YxFfcZpf3DuvUItTrzNWiefDfTJ9gLK2AQ8f8Q4jWIiexN2soJQimJaVwJji9WE7WCvtO1mJgds
LwVhzjStZj8GMhahS4G2PsSZndRsfJ6WyS4L/S7hKNvC1psVDoJSrPogNGpbZjCypE2zHZXiAZNd
Fba1Oa3nEV0w88Sa8CbZR80MMW0Dl4Fc7SQSrnHTQBV2Hoce0h4Bsg294pbwFXyTH2Y1C3Vp9AQF
3DmG069PqmJUb7B18LrHVcKtrjeF8mTXnPizGxMBa46y8cJgXov8JEoVHg9rTRwnvIq8FjaJHN2q
CRZWmfnVC7z1epzD3FNL+z3IXIGN0iCbWm5s0bvKPFFR1bo+bF/TLbyTCEKhdwULxsjJyfYaytrk
e4KnGD5cOKDlg12HlquW1dt5OEQY8VVn8zAZ9iav1be5FJFn3U0xkjjcr+pUb6hNKcrGfZwWt2mc
sImmLsLXwsQahBCIkVDguz4yJyZMNy+61qQzjdvLSSfofbKtECquJ3cLs5y9lg2c6QA9Xq9w+H3p
CjM1lsiK9jQ2p7jQD9ZM/vnaQrEEGKdHztbjJmXGLqMqGhTryQKkr6L94Na6+iOPSZ8cZGat3O3i
4JYbnAxtmXqfoBlU3IoF1zbXxpgKrKEZWpdlEuoElb0PQb2xTwhzowqeTGo3YxssU8Nalvk4Akzn
OEVHE3t4SU99B4fdW8UhcGwC1Q+VjZG+cUrf3eRBqUvIaNq6bkke1ym+mTZ7NHI1h9JkWgLFC2oq
qXdOH10jd9rFieTag1xlTZ/bQbxVbGtYJ/wyE3ICc6l3647774NMr5O5I6H0bOlZBdwRtNbe6p6D
LtD1ahCNrDa2GtAATxN0eQSmmawu4job2RZV0+haqmqkLlmSQOl3pOrKU9YPGgVLDm26sEho2rAf
ghtsZBPNvNvA7FxeP2v4okukV7jH60u9S/3cwYC1eY80JjRi4UHm5u4tERm8yCZ2soBwbHiJYHuD
wYtlmcn0HQy9gQD+8M+bWFum0GZoxEpFKisMaR/qUmGBEeZWtaCNoCDSQzE1qQPu3HKO3E9FZ4E9
vX1GNkzLeuL4N6gHv42QUO0FhCW+0dCP0uquqjgf4YmuU2ZGaEByesv5IUGMVk6nDuXo+LBKQrnA
yAkQBHzqYL7DBsamWBcVpoIPPyGcg5yhNr7XMlhK8DoLnv5kdlLBebapUmI70tX8CLmgcw8mRjGj
f7PiylGnF14kTe5nWR09D4RAHttu0JJTbBW9o6cIVn8a8Kqylh+IRhpPzxleIJSHraUHmIiGtLVP
WltijBHGb7trMiLOwPS7Rn3hbYVoqALRluh6U3l6PBJNql3VTN5A9iNadR9UZ4npn6Yq6dYbHIYk
26WVcF82GfNSl4a5NxBYDi+60Xf7Nj1y5fJdyL+r+ajQ/oUqL8QsxvjL6E9x2uFYBH+GWQ1zmWGa
LtQEKDc7R4/dokKkcYlnQTyqMC56PBfP+AWloKilR8G3HXDz5FrV2vEIZjOmGqzA2T0LaVNx5Itx
t+yeRyLbRUkPdmgUi8syOeLCmSyVwwFxbcZZadr6EJg1Lic205r1B+mdgPKSgyffWS3uupwLRJDL
OZ4PyzyezDYBTc9jQroAVddb5dPH5kit0dd+x9Omc5BTGPw8EftrFVAYzHFscvqq4lbwJzjUAMeL
QdDxNzEO7XpjGqNpbkXSJBxHxqRDN33wPVTqD94K78PYGhPi6hu03frQTY9dV2HdbOlDvgw6XcjH
CDzGhwgXaL6aZnVQrs8+dJxt2o1uRY0SuPX6xFvXK+5qtRwZT1tJAnOvzw8MJ8/l8kB70aqXyoY1
2Ts0OL2ohP7rzNA/0IpPOKrkPnXU29SrRtwatQ8O0fBkRbZ1QTtOjfDXGRjVpPEjIxKLHpIY4U/V
tQlNvWp5Ias+cbuBoXiRkyX1FOe0HDeXnpc7mvQxZbgDJNU83Hoz8vtTn555cfB7mzMFG5vhUB+I
WaEn2XtFXvNrAkd1rFVZW+lK1K5sVvHt9HZqxPUH1dVpm40wyS4p+Adv24Nc2Trec9SnwLeDRRGt
+qbrdZ6WeMssW/BHUT7GSWfO6GcMdA5JJqOf1KmKT5paCIzyw0Coc1zqEM1IqZ0xV05+KRvAEX6Q
Vv6KaAzv1Xaj+IxGsp1z8pMrRLcp6aP7KhFV/izqWZ/Ql7eVI0AKzDvE6kaPyo9Ro/8EM8JyDlsA
GjrS/U09DVGNdjzuMF/nSOlzJr1VbJJCw0FTBz0RbSmf9ONLHqNqwFQ+x9NXg2rS/Y5xVthvlW8q
T311vUl3b96GRuGj/vrT0/1+KSgh1LhCN4xoTR0hq3YCM2sEnfiaOpFen2oPL1KKQhZr1q6PH+sV
DfwVpoS1AkwtXBS6wvu9K9WbVl+grxJfZ1HiPHY+JKXNSHSVkzANk64kqnW3ejWLxlA5bg+IMhYt
GdaNgpF1BQqhOxvEj2qEp39bmX/2Pqou1keESro9e4L02ok/fXz7v70qASxMYYtClOO4fRxeOcMm
hOoq3WeEBTP3wQalj4VsrhyhPr7Ub2NOAAwHtILoBOHUc4x3U0alNpGozXOQ+GJYDtHiZ9OTtUo9
RbwIecSfhtxxC8XiwyAPJeuVbgL+ikfjoGt74cfg98+Nk+g1Ss1Mths0QXqDIOyEqRwF1PsUEwt/
/l7Y0uyuWe1K9/TjZz9+zXRN0cQC0tImJXr5eERqFyc06bH4AibB0XFJSGf85ldSH+c/vtLxW7Zd
YfK0Ago6kcbiGLzOKQzxksisL0NVy/xSNYU+mqcZJ7XDmGjjwT80Ht+r02maoNMHdqbJ69LhAz56
j5YruDUsJkv3pavoE0FBEpFe5lgUF75r1LUFRCfioSDWbmXuJuyMHz/xa0TRrzOQUgvXOFPgr+BL
Ht1+fwecEpPCamT1pU1MmMA7ellrDqm7SgJona9ly9glujT2MBrio/8ExQ1XacgLkVLFvjC9vZwy
czXEA/S/MItrTCg4LaCdq9gSSDSv/T70hTL8aZNauWK1lpOrN0tExPVYh0kEBSch/4oeehYqOQAe
WVM3T/iH5UB0O59i3lanKa1lH2Jpbujaqoffw2JhdJhoASOnrd7OvSaltpG90Ft803QNtyXfAPqe
0p5VM89tXTRlvnqt+GwMlDFozsqMlcTsY0y7MdHJOpBJe5xHDbJUObDsx6//twEnHdsxPRTieJX+
PrQHThaJYa7L5zppBTVr3Ch9BApWpSuAn5D1x5fU8/bdB2epJQmEHo0PF0BqxsGv7UEaZZgD9v70
OYgxaRW7gYSD/JJABDvHo6g3uQPocMHAIWq2Il0UIrvWd/PxbRw/ucA0zmTl9GAuMueOVRgVcUET
3zL5nNfAn2eIcFX5aOeT3V3YvfpDsMPxCoJ8Hu8QkCKPkC7fcY8GuWeZcZo0ff9lbAkXfHIzqYdF
ljW6svr4uY4MJ/Rv11nkvomfLfuCMI86SjFG00VRjfYjxm6mH0bAl0jXkbqlnHTTDP0qnvk1XEkB
OLUoxuXsiuCJw5rboSwF1gWC4cij+/fNhKEdOMLq6EI9jTmhYKfFrEjqLNGw1mxoGMBXHvLp09FH
y8XZtaQ78jAaluDhjNxlL4LepDtF1ljq9ZoDAY62p4bBOlrsq9qMncuPX8LR++YdQEYVZIfRgRS/
d0xd6H/w7Yb5cSgzvTMTmKSnHPo5Ts4fX0o7AP86nvU3ZfHC5AOeK7j+8Xie6gZM1XKiB9+pX68F
n8u7ykf8ptmaWOpZgt567wUkHd5CNVcaJf35p24cNEIAt5CX6zrw4XRDo2hY6ewSXeB0auTZYKwX
PVMV73oY6fl0smDtz9zJq4jjMUI0fSz52fijW6SbSEaR2cyd1TdX/m6sS/3BVzfjKsZrd1y+QROj
BQKqQsNN9JeExBbzj+XIwo/Orks1sPyzhcaMZOxm9DzY96IIlEOgLy8nIJCPX6n//vNJiYGq1FYX
OPixF7rm0RBueYLRN5voWzEK+SnrKhfxJO3Rg5f7jQPGnyBFcObgfEHiHYWNE5FVZefFE1RAhMUV
aXQ0TWHKB8ZCCK6XqPYx4vza3xRzPybbxB/tQ4rHXkmr7dvYOD3K6w4S4pZejndN3nt9niC0uGRH
SlZO68mYhwYm33+v9JHHswi2sLtpCmQfIahh/mSsBtYNqsCFdtsH3Y3DroT6tDDEpVw6TCsaxIX0
xIunhB7+GWIIugRZo4DzarTO2VZZxRdYE+75MscwDIcVd8cQH3f5YLM/PzcJOk3tU58AYcT4DNtZ
VT1MUgxPqRCIYnzTcKrQALf7jL1x/1IYTXfvOX1PWRQNpBMN2Z42wdJsMbHy5u08BamxGZxyPCuq
eqfw6ASwSbLs78H30Lz4+PCGCsL/w4pLREj5iaK7MgxnS1zYraMW8yu6of6LJVfnMRncYZvMXnme
y57AA8xr/pDB836xZkDQVmYxcykVSFmSx3Qa5Mm5bF1tgCnN+SawoyrfeUWtSLToTO/xD8Pv3YR+
uxjyPAhZCAjxYjlarCMompzJg+oFuXAJR2g2H6wKfHVDYOnl6CAU2c4Y8d/SIpT5H+qx30b+62PC
1aFlwyJ+TJsY3D6oc6crX9qq4uAqcKqY96Ww/uho9fqb/rUNvz6lY9sQD1BKsiEfs3Rmu8ztEa7M
C0IZ5oyw2S7QJ8ErDUlmlneVXUZ3aR+h7DcLN2hCMTb4KYyp64VzoaB9QdbzrjuvC84qo5WP7Lc9
ddJQqKeypHixVVU2G1tZzi2s1upHCdv6ogKevR1tzZrNOKdipGiZWPDl8bUoia/eGLL0QG9yenHW
FACsdcHyktWxopUwdHsrJhfVnJXYrny/P9RCRyQ8XokuAyiDeC+CPfq4JIC03s+Ov6wvBDXy8pNU
JCeizorDvM7PlRUUn4URzOFgxzQ92s7wDk5Felr48fBz9er27sugZNCnOsiAEMe842hWK49K2geJ
fIkHGgfAaV2+mX1E5UgYi1WFo1POB1xZMDdMjaak21OXhxrc6nJsvFFtChkb17CAnYNYF4AzCPBf
Spi9uKXmxiXB8vJiEcsJNmniAQy0uMbvvKBipTG2bFc103bJ6j7ayiaQd5SNY72fnPTH4mXplZDY
O+cgxYc0rpvrkiwPFdZRP3xdimR4NF07vzUqnw3CQ4G1F7ZCJyC6NH7Q8eRILFqTB0BPFWxgm9MC
kFlLioRkT7x3XMO/SJPF+dsC1Y42NB3gIn/8ct/TkvjEvFvcALUhF6dZbGzeF58DkDDfXUYvbeq4
V0YrSHtOxYIvaFvhXjFxlvjDFa33xNfXS1IbcMSxSBHWdLX3l0SwUnQlW+f3rMmcM2AzoySzaDHO
ASqzPY0IxUrvxt1LI8ziKY1ndZGmgXlrjIHY/+Hpfx9alJosn6TxSZi4x2TAbirdHmfO6ntM7nLB
ub2OvtTdmoyEzywuPhR2DsJRknK8US5YYZglnntAspaG4CRBgGWwgSCuqz35KVWY9AD9AqFXRp9c
5l7aH1oh5itvSOLT2JUxEUr4Sk2bHhsaTIcbE6OATodP+0SPNScGr2Wf5cq4DDyLsA2gDOMC35jl
ZpkntrPMTRuMF9i9t5iC5hd4KNECN0Q5xpuiJXdyM04ZPVyank+EnC47apH+XtkztkRlIboNqjVp
MhJpF209UL8bEaTYLUgYdTMdTfpKCgf/GNGGbC6nhryeTZ02HrxaZI3WKeSUCWcZL7b/Vl2dfhpg
zf9wsEYE6hmz6E/A1+/rj3Q4J8C4JmSL73O8JAubTmg+T/l3nToqscwjKROWx0LXkE/GmUq+rP0Q
nXqV8XUZs6mCPTo25f/HgNVGlbgzwlx1wAbeD1iYUj3hsbL4HpXeMoSvH8RbkUdepIVHDPY6Bg+k
eA34GCfRrsHo+XPidyg30SlbDx+P2COA7nX2EKUBtszSAdfymLG7YoY11nOefY+l6d3joNTf2QWG
FxJg95x9cbgailadNU5VnpLuYF2qCl+/jSzUfJPKxIeQXE3jRWoM4gfM+dbFODvN7/9wl+/PAPou
PfiuRH3YcKY5VB69srGMljJoneE7qHcbP1JZuP0WJHHZDL05XtnemNNT6lfPx0fZrX8kK3YhOpyg
mU6ErPsnNyjiC1NO+aPd4eSyHdgF9oRYFrzuOJNbp6Xd+/ah/8et72Fpvv+f//1MZkkVpgR3pd/U
O7sICQfrlw8cPqvnn9kwV88l//IuqV++/6/TvniuXv6Tf/iPItL6C8gVwj4zBSwjMNlrfioi/y97
Z9bctpVu0V8EF87B/ArOFEkN1mS9oGTZxjwdzPj1d0FOcmM7HVe/dz+kU0lkiiSA8w17r42rgjtn
GS84NIUO1eyflAn5gZ/gllrYmMxdJP/qD7sFlAlhfg+Lgcn133ghv7f4/19BLFN6VC36UtWhKUMi
LX+8g2sVdir3PBLP4T3gIo6QO6XohZG6eagGpfU85H1/pkkAEt1VzwRfL4g35yLLjoojRzq2rsCy
wV3Ji5us0x+tgAkGHQ8DqxKD7noG4ndQoKJX5qQh9OOBTfaHc6nY3fpyFDfJOLCwNvKzPUB70QYS
C6qAhtLyAOXnlp/1SDeA/n3r9C6+5HyOq2WZhc2rrFH6MB0ZLU6OWJ+vSk+/4b6nm1MDxgL0jKTd
bSZzQpfXxt+aLMEHicx9yay8OMa4QwVXsZEuvnlpcR4EsuzRijAddlsiDs7YQW7MZLrSQ/4rlWhg
8uNX3JrluqznNwt6TdaLt9Kxn+up2YLZyVYqjwxyNc09yfVAgnX4oxRIMw2RexGt8Zz22asD/phY
2+FOV+l5+QRa3IYsi7NvScWCvAnbZGtk0yIvYCDR4e/g9OrvQ2O4W+CKSDXt8MD66w2npbcT0TI0
ma4WGcdhXlJmtIHlg86W0bTiI74PyRJqvLfBYg2V+RwZ6TEcs1dVJ+RmWRcnYjHsU5FvTN7QUr6V
7XRDQ+psJ6Pd1l4FStx893Mg2GBm7rNtg7te8kHJCL1PYFGdY7ck3zr12mVjW0InxvfGDIjPMspf
4S0NPtwhAprZ6q6W18IjMm009qFDo9+0cth10XwlXGI92I9eIQfDlZNG3wzWdxtLxOc0Ha9w5yK1
KgF+JDHvkDzcxzlg2oeSJlvHnqGt04YX6mM3wZRrzidUCkdgeY/KrNE1WuN9rlvrcSoGlIfoRoIy
fi0Y128yOb655XzVyxApZqTiS1pTtYz6Z7c2rr0hJgBhENtJtvvZIlSiHlEG1BS28KK5UI19mPMd
kfOXrdKWsrrr5itySdiyDItyxBDGkbghb4NQHGihzA2/avTHIhRvnjHA7F/UEW2YHQXL6Vp19+aY
sbFmTa/bJfrSfLw3AhH5adwyC5I4lGebzaIQMerQ5XNHfwJr0Hwu6yLZAtwlC9FEKbv8HO/Tj0aH
S9Gwn2NHTfCKuBw1QWAiKLaXJMDH7CTUb6Cv+luD/J51NoYBTDLAcAhU+j0UjP5Yl1Z/QA/tHsZe
067TaMo29Vzl18A8pq0eZf0RzVmzklpmvLWieZl6ZZ+EC/aYq6aMa3OtMP+wts9rVDnIzl8Dp1Sw
kSqJRCkx6+KREdVjPsKGXM9m48U+kUGrMQouZpG+oCfsV+mYsXfFVjgb8bpqJ7WpzTESa2RVINJi
QlaO7nun79SXTItuitIsN5AjHkucJuyALYBfnfU6FpN6KwrZcVcm0Saza991iLysZs/e5mCfELKX
wY1oLXbtBZf/nMi3UpQV2Gn61KhHazpKxCQOjAl+CxynM5dhDXpzPbIRuzZ1p0M/wEU3pc6zo9mX
TtZIkXv1TRvUlWn/bjb/Y6+yPMVZ73ouY4B3huvPy6A4sc2OZQAwRrA+Pkz3doGUXGKrBochfrdL
/HHE8v3VWO0xZDF1k1z7n2ZumG07PAUOGYPc6utCpEeZLW0caLXfFJg/Fkvvr8TEFGG3BAvgOT9P
9wbHGY2EcMG9bNNXL+BpuDyOEzEgCm9Yoh74O/03nc+Py8Q/XpOmh/k7TTX//+OJGBoFe8uGMeHU
WtHGahAdMeheaezVBs1CFMz7JbnqSjU83f5WO9x8P3b/7jn7BYjN90h4m43LA8mx+KUBBM08zMnk
FvsmV8Y6ATt4g5AcFX2jX0HFSPf4s96GZuy36dD3x6RvuG898msVYo0Ink1YzFddCL97Nqy95+Xa
itnJRrrD1UC6oQ8FeBGMca2WybmwFcE4/d2Yh486Urq1PZoXNPPI0EskspZVVp9CVq4oUnk8/Ps7
/YdLiEGgLi1aS8r1n+cnMou9vJRmsY9kszVL/Ub3ZiKk4FP+5nUMvq0f6xsMX+iBKK1oDqyfecTe
IEBJucu16hFTh2X9ZgJUt9GBQGBa9tDWuixPQ5HfZv1047R6fhstIXDmHH6rF6XiUqqws0PcK8er
UGsIVBu6e83D5KH6HePh1reqOIfUFNm7epRwTiw57fJQVmDy6Tw6XTV3RTo+jopjv5OxeWxjN98M
NjJbMnG+BczJ/CLNFpmPW+5GDUUW8h037Lbs1ji8K2MP535PRA8+BsywS5wd81PWMbKbb5ypNnyS
PcTWc7UXZbFfdAQ11r9/kP/whME453oY9ZiF4Gj78a6Ywd3hgCCgZB6IKaKcGHmyWZUkz3gw9v/+
WlTYv3xnaDzZTiEf8XCy/fhaiE9j4kSmguCT/o5J4TEnWvc3L/EPTxYaMWnCwxa0iu97hb95HeOI
nUum68W+9PqKyOKRHNtgflue9PHMyAvd+zGV5t7T5AUFTbQhPfQIwPepSZLPLhhoX+a9wlScGHv6
aw5Zj6cTHpszYI1vsz0YGyeAqJUZNts7yyB0iHy8Uxbbm96tHliDLRJVNzyYUzytssUOxYazXYHx
qLZSMQMxPGR93QgbRJfxNwsarU87eu7H9Jha4JvwnFCgClABlmBWD/Ng1evtXVnIaGMa82/G6uY/
3LF/TBx4Dpu/7CULiakL20CxFxmNQh/l6C7bjgqeOJiziPgEYsqtdTa5l9wCnRA0SveBQ1yDi3p0
AXWBImUQMATsjFoszOsu0p+HpDLWrg67IO3tS9ChE+wC6xJBYFlbiidRVbJidpLpEf3e29zofuzE
H8kBoKqqecNKG3dppD+i3Gr9CuPZzsiGnVcNd6Fld34CI9k3Kx58jc3SwtPMBJMBujFpzY9epfrf
7BL/4SbhzFj+B6eG7k3+eOEOYc0wYeiL/UB+CyUOIQYDvw5mAj+owt98I+KnceH7ScUUGlswShOs
pT/fk4jyJ5YgXbFXRDtvhN2UazdIjgEnlSf4fuaSS3KeaJB6yWMKQ+czJAjSYigAuzKw/bJgBxvn
Pbp1uCp+nDEOQVj7uUnFCaDldYaIGFkw1f5YsJo0quYtT+a7MQNuwwDCXy6z0Ehfg2GpUomCTmb9
XHeM48ZSrihXN4T3utuWr/S9vYQkh73e4j/0VHoEd8VPVEO/rYKOWTSS2MNIXuF7ExQULBUHotaP
RTfcxy2NpAthZzXXtHrWPNyrNiRryPR8Dy2kTMUN0XdHlK6sjiGcYR1Ep8rfaDn/JED0vsLo22+F
qZrNchs1o3UpneEeVRANhJVq3E+VtspqqiXym88jUN+1U/FfK9agdYIJomiD+uRZ45tqW4xdfMBJ
Fp9jg57FGynFSR15TqL+bmDtSfC1tScy9aj1yXFGwgu0kRu4bbMjTfEuDzhZ4rDnwuTusIf2nAnr
JWqG4pgKC/RxvzakQtxJYwTXO94N2KOv2GVfSGJ+ltj6f3Me2/9we1PrWKDisfCbv0jpsslIaoll
eN8401vRoN7XOfd62qzA4rZe6q/3VhtzG7rxd7PLcs8XrFenocHLmfBjgEPWKQ4/vKbe2u2V4ayz
NiSoT7rFxhvRgmWi0WjQ0rz2QzPe1EUWviFV8s6VIqBqDjkXcfsTs8EZv5od4yI1njFJOz32BuWW
roxqMWB1rNXaFCgflXVIY8h5GBklX0hIme0k3X1LBKevZHunXFpS0srPfdfdmVYXA8u0x02sUmNd
4/HIo4EMVaKcke8RelFOb3YzY1qo2jscask+jfE2cYjQZHb3hj3eLNV86/x5vv5vwvabCRsrtGW4
/Z9RJh/L7j8kM//xo3/O2NwPIEN0BnY2jqv3cdmf0DEDOgk19d/CL/7MxLA+SPAOC/SAlSNZDlQJ
f8zYDMZvTNctbgnmtSz5/iukCZqSn2oavOOoExZ2Cr+H+EVq08UyLVQSl/sR58GADDQ1mEIUsbeL
Ck58u+BBvirCxL31YoMMJ3AF8WWweQj2WeQuBtROcKHGxtP7kL20ZfGxb+zghbE8HurZANXskOu4
r9SSacSKCQXP0p45aQGfEWuJna9bbUzInECCZJyo86MLkDD6RVABxhEdQVZvai8OZ19NE1VeCkxw
hC3EQrbJob4jP5/Mbao15jUoj/EmjQJzpWHd0TZ6rRlHOIwIw8kfwbGG4lui8hlRS/TlZJ8l3los
fZIc2y43DIhernHgqakXmzGr+086aD+PzVLQfuVVRA/OpMCcFHQFwzy3qtm1OXY2fY/dHQNaFyIq
2jLdxGDJ9rFO4bohiy//hgrF2luEO8G/tMh5FXMcfJntxdOckgb4VM2Ewq0CfrMns7Kap2LQ0zsv
RSoQjHF0PXRBcV81bnndNqqfrsZ6DC2g40xZ/CBCceNneSaClS6wiOGbrdzbMeX3qjk8eE6JIMh9
OKXBSKM6OrdzPFcvInTdmyCjkvF5liPWCDzidiGxDuXWcfOG48w5jFVeXaei9m5w3C55IyYr7YbP
Dz1O7Z3gSEHPjqIl1Q4U9xj1OZk9VlF+FKJ2b1F0xHQpESfR5Fr7XHAmccaQ4opE4MDiDcN0RiTu
2DnldapqEoRmGFgbG3sUIEn4X4S8dSZnM9uI/azleFewi8IziOvPA+fXJ9WV8qnSJ4CjGDhoCq3Q
ar4geXY3qo1ahF24mW5HsKn+xKn8kTMqvB0JEg958EN0WFm98cIAryFNCPcKuYWRNry65FOu0kZ4
p6oynHDbQTE4mmNSxPsAqdF86DpE8rs46LSTJINvWA3SwWGuE5BHJCIguvYQWdC5WAhW3Z0D/xhg
vjES2ukiKvMFk6GHAuLeOfoeT2e8Z9VhN1qC6+z3FLsQfxqRdtofAXfvaXfTe/Jd3ROCp73n4WEK
Ihsvfc/JQyraEZqHRNXdhuo9TC9gktUeW3tJ2cveE/dk1ZC1R/COBXOHy+fZCULtIykNjMjS4Ozk
OWT2nhC/iDS/YIn1y94T/hIoOMT9ye/hf2GuO8XaWUIBUT9BVp8nDsElMjBYwgP1JUawZRd8qOdw
eIwJGVhrXlSeCUmuNw1nWLJEEcbZ0qc5CRp6ADzR8AijLrT33N7afbGEGZZKERDTkfJUrXSXuMMY
EALZT0QgUqM1pCEW/A77SY8REvSd7NZTO45XmqsnhxIM0nryirtydk8tmRQHfBcNWQfleBxAKW2c
Mc4YLaPYqEsG7pqpfbFmnjRZoFZ1MO9GVyS4waTwmaw7F0JPPrYE1q+dcNi5bWI9CqUmdg+gome0
t9eDq98JpDisBGiFtYa6ITTrJeuaRAcX89aW3LwVHL3iSi+q5msyORd9lsGnWqXDHhZE9rGwKW6T
Hg/4lJozEtKmvxFdYGzrJSlsQFiwM+35EtcgGzITjmCEFms7CdJYRo2fEswD8NqosiIfc/5UBkR0
QJO5nit1boc0WFWA91cpafC7OoDMndiafiY/Ybi2G7JmAOp+9nja7sAau5s4mIJtqVq4hAGrwFLI
ej+XFDNZ32tHwADiasoIhO2c8KWMZbMOcbivUgcXvPS6xUdaqid2icNeRzL5sGhluDAGbReq8RvG
v2w3EbW6adUg7nshgxcjtdAVjEFkHuzEzBOCQqV+6Gy6hb2Rm9ZVQdr8FmYU6rKKjJ9d1aXm0Q0W
+aeGJqerIm8XzxxNyeIxbC2TXX1vz85lQotNb4ixHf1zHbdg++vg0astblkrD/BNddFlZrX6uSgh
DgACjNPnysnyrehopoNYulv0u96unPvqUzUE+hOBC9qm7TvCIoZivpBYVF5N9aBgwebuLZaq4oxI
TbumlX50wpqkEuGR3huyQMXFSqynT2BEKo7WmIQnL81djxmZVRNXHHfOKpVUjX4NkhavDxkcVksC
cC+FcTGIEcFNHo3QmwFI7xxIzDunctIjgRTZGvs55HLyqR7bSm8IEmqKeh13pKrohrqDRFDeMuzX
L0aSFmu35ZPuMi4Dc9jqowQ9sCxtJHmrft+YGgRjJ/lqsEX7ClODOVxkkDwLL2OwOAft6VgwJjFW
cAas9YLjfQAW0N9hEHO/jG4Xslev3VMdyBfN675hNgqfgd6MvjYV+qoxrQfcKBqRtk26kkbaQyAg
yHOe6uAhVOaOAetLYHdvrqyt3VyaLbtmwrGQAD9P/eSt26yUa8dRr3UOZaw39AMYtRQEo6y+hoHT
A/PSgKwQJ7rvJSu5lZwnkwVFIG4yYkg3aTOkt4XAABO2xYkRX7fJW0kuhoS/jmcrUkO1aUQ+X8Kp
RSOQN1+6JLpnDUEpRX3BNAYzvNETzEoM+5rtIuw1KAlEm1r1UszU7qqlq/NHTrlNVATxq0zTe03a
7M+GWn+JpEPIXew6X5VQd10vvgV0H66KyabVnE8FMdjr2iIIfkx15+hNwXyq9M70HaP+BL++2sI8
PA5FisstqqpNX9SAo8PeQCk55QekbgdrIrgiscVDPEzpCVtcAHfCFluhGkYNSRutKj3ZqT6rjmU7
fjTnqNmKOSrYbFqrDgLGl5b6c9UaXfmRsX2/wr3CZx3kxsQ8peg3FmsgEq2bfDt2ZQ4gyX0LQvlM
mHTwSQdcdQ3uimBU17qtRct1Zb3lMhcA83FOVlFcXVUFO7mull+dfMCqIb4w9awjMsOyaiWKZti7
VZBgiKzMTVwDH0eeHe2oWJw7SAXhOsqGZKtTPV7LwgluVFAeFV96maldTJIPBhBzZTkVlygbPMjq
o1wrrCkXfKIPY1rZbFWjblcNsdX5jizKuy7qylVCK+j0RDYTyuWbHOknrW7sNZyxR5y1u6XYrEVx
XTptuDIHjy6v/AZ/fc8CjbQyTb8OhuZ6zoBsRi2g8wb9RpW/sBct/LkZ74emu6lES7RScaZaI8bS
npm0tcG4AgaQUgN24WpKuM0tN0PWZEEWZ1UF5e5UJK57svO6ILdT+XLCl4U6PZ9vYNOk38c4/2v8
ftf4GUz//63xuwc2/RXV8de/6yowKSw/9UfP54oP+FGQPy26H/7xHw2fp38AFgTCDrsSSRz89S9V
hWF/QE+BicPEAieWRvH/Oz7zg4eKllQPvGsA4hgJ/xeUacwDP3V8LlhFWzDcY/ugwxFcJtB/mzAj
5ja0aLCKA3aCRlS7ngow6TeQAwbptzl1lr/kgQ6ndomszhvCt0RDjDWUNmdf52bM5CUg3Y22VVya
2rQZuROCjTitWIeh3VirQWFqCu3xOYfES1ARouhXbwnTlkusdudZlPVL1LYTOF+6oiJ822jCncUB
sbaXaG6xhHQTQN3tJjzJtHfEBxHaNzZb+Ao5alIXMnMCxt+save1UE1+6HDzbvXY3naN46z1llVo
n8ThtViiw4spzu6JmyIqi2MNQjDs1/I5El29k702H5v3FPJQ2vZnYg3IJh/fc8pzmPfnUk3tQ5q0
7mlkiHjXDUquiwwBcCe8sw48bO3mYfiSRQ1xYZxie/BOPTk/PGuDRFc75bCxG2JzlbIpvi1hYRxU
IYutraUcdjz1r1FqH8MiXVtoxG6gdPLwCSRrnWlwNxnJD36XEuGudKPYDLWpr+DvmicvGZtD18wa
fKCZVimNtCPz74rIvJqkBsD9pOTp5bm2l+x4eKMklgzsh0TMoxTApHMKg9zamZXIt7I2LP7UZr6t
etmcnVjjSOnkvT0SWT/RbS/uCdpMJ21u55Tn8TDZ2dbuStKcKoLvzThxPnc8vqpietHzuNmJilO3
60O5wzcXPPawi7YJiJcvRGSkE9sBmZxDINIMyqoRKfrY5hs3z/p1zEhhz+mstrVNzzChVtu4lkUE
r9sSlTsp77OriuFbSFO3nfUC7FEdkFrMfUPmDAO/7DQlFWp+kTzgMZ5eNdZ8LNRmSz+DXO2vXI0j
sSRJBheKF1WbKlzMFTJw1xEt3zHQ7eLaEH15zgbxABKI8T0L1nrvdmV6O5a1dgRP0l+DP/OuzDqm
mqnIdFarmI7T2XdaF09b1Sxh114HkWw1Q8Q6UsbBOZKEDMyjMraRWbkrySG5dB4y30OAocaePSv0
GbboxSqTXU6NMPdyjRSPvEOG5v4o5/xG09ieQnr2o66oz8qWr2VWO8GpxuMUXRFn9mTHykFObe0C
zRXaoQHWFchd1lLwOX7vYUV/mzFZo6MKpvl6Zt5w03TSzd/Y1lJhmLDsCrftHqxqNG6U20XURVnq
3JtBw/hUdQTUZ4V3HEpH5r4XNETb4+mp7qpRw/aHlrYP95XppOpBZgPknLUFBL2N1oXtlM6RxE+3
0QjQSaR+zYOSzz3vq3kLcY3RyaYMA/3THNVDu9IrcC/1hPr1CZytrNWmsSZxW4xeF3xJAhQdRBF7
Pk84PxKmxuaUIoUr1yIU1ENxidLKFOlq7MlO9/XWSz47WjCBNCh6nazXMhs0v3Q7LCJ9p0geXioB
84yB3nvMp8p6TQXLf7gxkwgPImp1LDn1MN4UrWN+YdjQpjuGBghG2XLSCfda7DFFZ8wCYcFKeUlS
whQxNqMu7g3yhXKmCRn7Cn1AfM6zj1dsUxJNfOk1qJHzME5Ia4y9orx2AHKX9mrq6shor1IiSPV1
WfYoUpzRCTcElNnXcBHGrWUyR9L1rE98ZfEZMzcIpvtscOWVsrVG+Sm5iiQk5t6AjsWwz4Vn1oc0
9rjvRytYW0TftaxqDWfXIW7eFU7v7spIpTcLWXMOkQYidbbK0xhZ0VVQVc62HBZzKYl5DjdVHxPd
1gE+JGXTlkfXUTsw25gq6I55foV2vFFhaWhb3Yn1j05WAaGX6GtXBsQxwANFgcarK+/c3mF0bTNt
s5JAUoAbuKLQoSOQVkSmjWbI1pM2wZ/nDg4Uwl54aFP9mTNKXRiu2tuBiPUVpEJiJaVe6x/DGUDP
SNbrg2WGza1JLgeHQ5EdstBprsvW1bYZpKtjX+jB2yxtCzWDWDcO8jUencE+5496Th18JE3uuZ96
IiFLv0Xquk+serwCgTOf2US6fliPyAyHKaGaN2jm6rK/mOG4pbYz0aTpQP1bIyLqKukNc5NQw9+w
2082Efq4JisqmEtle0AC3e2A2s07q88taCCCwdfcEIIzZGV0jdWMTYcapXsVGzzi8TNYa8aphc9i
byRh27R8KZhEAnSJbghiGcgCiNINOBuQ8rwBEoCR9/liMCMejbP5bBi14izEEvPau7I9Y4ESX5mf
lFscyVjyRCD2dlMbT1Akqo30ynBdiSbcJjGNhira7JKCUHrsuA/PtPXqBu+5d0IuU6xoH5ITnVi8
q42ov6SlNa8slFT7bO5fateMTxMpek8B45lLEAiPP6SxqQTyGWyOW+qrMjf0SzNGebvwc9wbjKbj
DqukekUtQbKFna4NWthbZC5j7pu5ax9y2i7inxahXpKWn4cmxPY55vomnUr9EOnhE2stm4aCLjyj
Z/U1bTLQkKaYRXWhPY9FoG9MMoXPVhzrV4aGSYW8mLBej5pRrU2aYjaNon3QZAelgwwnpoWmM248
3Jjo6EebyA20MytGCKROFqFkX54vEh5fT20R8qfpwAUMl5taAZQpUVa8ypFafjTpsnwHsC2nm0o9
NIw9szPno6ESN+TIC/M4jO4be6ri2/ei9X/1/e/qezLrWIL858XO41dFNkb7Q3X//Wf+3OiID1TV
yKEMyo/3tJi/KnzHIALdxNlgm+L7uuevCt+0PlDWs1FcbBF/9AV/6qblB+w1iLpMC9ecjgbyv6rw
f6zvJYZTdv0OvyHNBwrun1QqriBlLi6Ztrsua/M8ilyf9aPxG93NLzoVW6BfsrF4oSjgk/ipiwi6
vmZGFQb7Dhun8HvdI7aJWK2Xou3HmxwSxyGba8LPy7mtPv3t+/gHOdryff0oxOHFwVa7wGM4hPiw
f2xhIhwvo5G63j6EmJduHdUM635k35RTbdwl5NS8hl5eAZIpYmPNeRF/HbWWQGlb2cYaFBep0h2t
fNsjoDNqrT52gC6Z1SXIYpMsgEkNyHHThOF8pqEI7nI7G36z2f7HNwG6wIMxza5P/owj0ZVZkZY+
e/t6HuVmNMt5m2s5WxFnmB5qQyewW6SOsdFyFKYCIvSnAUw3bUK4ZP7F3rJJkuNNSTQdlL6ZwYQX
zdue3uhAEmC6dXsGq3ncsQgnFotpas648N+/CFrZX74HnPoeMXaAUe2f1XINRtJucgZvHxvVsFbk
3/hQ9CaGkr9DwP+iYOEbdyEGIS4B5v9L02oxus8rwSv1RqijgKz58kBQHVVr1Le6xVrp39/ZcgX9
IM/j9TAj0Y5ziS8+2h+vMCmaoiC/mdcDFXbLE4Xqowu907+/yj98fotNEu+9yzjA+Nkt5SkeFxSi
LkKZId65fGoV9q592rj3//5C76SZn96PJUFzY/LnufDLQyEJEZsNXIN79HjZYXYauYk8rplp4oub
cljwJCrbeMfKNr2bess9VRknrcnm8I5eAz2CZdW3agIX5ds9Y6dKLDb1nmD0fZhVwbHMCvZhXJsP
fegUyGBn3aRkTQYWOGbIi4yVKcniIdK2kXbzNNhzvP/3N2m8C4t+eJekdKFGsxzpkCECr+LHby2Q
QYZcX437IWE4m4cloouQvGuC5tJtmTbE+BrltzFT2lL8slmanGSf5Um3ZfbcbtNKqUsF7Sr22wIZ
hl3oT4Lk0IvFzO/FGfL8yaptRsyD/CjQi3NmgyFcEQDBeEFPvW00Y+dp8YY+RGHBnCCMp10abkUC
dY7HWbq3W8u6DjswAH1cllecLtE+rwK5MaiW98QjTqvSiiEZS1PsGqN071VgJYdES0ivFnWESj8M
3iLGRwxmUkR61dxfVxlmU0CmjnmCLIu/OSBAmlbexNBAJqfNBiXDnR+W+1SV6WNLqGeGwMUnDVK7
pgacvkzTtKw/o3YTkpqzswKTdXxik009MyVdazjkb63I0O+rrsmfnDBKv1UiwoCY6h4zIk8x3oa/
SaddFtH47LiMM5xcwtjzvOyQTMl4mmvPvgaS5q5bNy483wBGe921BSuXJLNe9RpY++jhrg3Sr1qq
uWetyLS1GcbhRnPUMc9tfmtb1Aw4vEXqD/Y4qAJ8Ohga/VAh2NecAtppclo+T0bASbVilkb+WUm8
u8iNT1ZkDz6yfNJN0zw/AZSfHrQsbSX/Vp8votMowiYQRRud8wXy9WDs8DS4Bypm41UFdnOT8DkV
h1bvqPfg4tynJuC0iiuiZyzeYRx9LdFDbdNIaojSRjf3l5jNh2JqulWJLZKvZmScPZbhfpi6bRQZ
tzLIuw3Ptv7AQmPysaK2Lqpp+YUKMMdAIKrbSWVnWOgR/hkYDn2YEYAaLHjpvO1WStePlSS1EgKJ
6SfeGH4skvDMHvUlYoG8B6en3wVihgqv7KcJuZTMi2LNvjdZaYntPbZW4G4NpcTJGbvhSPfq+WU/
j6tcN0K/S2rNZ5oWMIXTIh5RJH0KMEJEbJfLojUEWQw6nkAqN/ikVdHELzMGhGilJDSwaCxJMq17
Lq5+cNYcQ+k2Dl0bId4Qx2tY/nKngF1fWSwWT61G+a9Ga3pNMN/cdnHjuMj+6P5RmibV9UxkF4+p
RtRXE6zcA2C+bC+MWN87JbeLrVHtpz7q1DntNnJAaMXsC5NEGwUrmsHiTfVm+JwEovsCdnt6Nno1
HHPX7Q9p75EjEFbmSelatatpzVcsdPpDJ7i/tCmt/C6bJmgceuI04oA8xpnrtajtfJPrIUtLbR4f
zF4vtsyJo4OeEnxuZqXJbgyRJ3t5qK7Qek7xCKi20AnjIg6oOCVFl7LUtsf66FVkpdllN+00m5FU
3ejpNkj66VvPgrS8QPHI1kFFUQBYTvdVKek7JfKwOOTkEHOwdL5dtdH7QW54x+ro2ERhDmzjCRrQ
pyuWfs3T7A3mteRGvUyxXnfrNCDW19eB9n4ViRqQfugzcbCJeoscduwQcZzHCNv9qWDWe6/p1BdZ
WUXEJA9UJz0lH2mYuJNDL+G3A5yN8xpx/WbU7fQuY/v9TLxCuk71eQCbS12oWRWb61QYh8Gs020V
et0joUHoBEhP/QKWUN9nicmzR/Em64ryC0RGcJwxTe2nyaguxAAER6dBeTgNBoIZG3QJfoSlK1Y9
7xzA4rWn58Pa6gy5QalBFDMzgOsZQmzjs1TnZ6SXNU+hbbPjUga/CbQRfdf3LW+JcSGDGcOZCWBO
E2tjwIW/FjwYVvNC5q1aOe/1xM6I5OiCI7WKRe6tDQjAzdSxt7lehRFN36iB+8e4VzzXS1kfE6Ir
M5/aRu4E2cQ7wpesK+zY2t3EC0TAoTh5Z4Ql/NpTZL0MONeYSMF8udMdeOIBAtM7xX5xrZxIPOuu
dYUSNtmBuCl3TQJw2qdeNK6sEcJyzUNBqM649EZtbquoHg9gMuxVnyXRtjQCIOsFc+BAAwvZtjFG
xMHaMKBhe1YQIJ1GYb9TVT9FOz5+J31TpltHJ2bsNZm8E86jdiy6iUWB0hF/sSo+eUySK56sU0Mc
syvN6DIOBC/N35E6/2tYf9ewoiekcPzPDev91/G1+aFd/f4Tf7SrnvHBolEigMcjx8FZFIN/LqRY
OH2wcXLjTaf+WyJR/2pXWUgR1MO/ogCmXMTk9NdCSlofYERRiZs6not31/B/sZCi3P2pnUMkzqWP
Eo6ihlaS1/qxbGOBq3ElM6oZaqmees10fObKb+4os8sstHoTaYI9Om6LO2dwz01T9c92n9Qfq1L7
WOuqOXb4+IklWcZyZacdJphrwa4H8HXDnFx77RwHYLld6vUeij2WSFYKYXMD13IymA7GKbNs6g3h
HGZ4tvLC40YvH5qslv/H3nktV25k2/aL0JHwwCvMdvSmyGK9IFhFVcIj4c3X3wHq9Lld1X2lOPf5
REdIaqnIbQBkrlxrzjFHzk3F1phHVQClvvFUJ3YsO7HEC9WPPw2VBUeqyK3DtkmB6kDNXdd+Adc3
AP5wa0R5l9RfHCNojcQfYjcVVn9IS8tQl4HqpmRAXxeUtfT31xWWKzp2/eI2q/FirbKn079h8OO8
ZwG4PtJbWO0zGZ02G3KBGyV/pqetjRPacmhdUUrK3HteJ96HdHIGB5uBUq+NuxQ8Dvbcfu/DIvXL
FSq30uqPxH0YV5y6tj4cKUWvEigTNB0H5sqHiQiaKSbkZkXh3uQnqmn1ttTZUAUlhPZTri0etE7P
fuO4QJa2KdNT1mdPsiwVF2vMb1om6qfcmF/yJjOP+TDnVFq+PBXzn0Qqmb5mAI9lvE7Z2fWWm8bq
rtJ5HF97WdXhWAK7qBZi5+vJR64pnR/DksxBN85vG1nyodH6OC/Ns1yKl2WCr7z6en7hpPpdZg35
MUkxPm3eyIaLcPDI0OkFn1ATIAiYj71LFqtn1EeGpY8cnl8Ivv3ZlNlwtVEwBvCTb5lDuGE1Dm9N
1V/IeapPxZCpiBT3aCHOASKIcq6UArjdYRdOgdAHhVG8KKFR2SBDiItq+sPJauemcrbkfvYbJ+jF
HiUw7sYPM4kKxv1Ha7JQb1FmGMTjRtM0EU2gs+FY85ReJ2PZ3XgDe7qL5/HsNll2qIltgDAuGZHu
5P1sNKZjNdnZd4+1/rJ06xqr1tYepVqtgFrwj8RMmjtbG54QkyxPVP0ldTITJQBB2akuHCcYM+EE
ZrPSlq/t8TB4tnVmXUgPXWf4B0maRWinmn+cnPmPxi4qkg/wmiesHQFbU1aHaFS/N0xpw8muSaOR
bF/swj1zi51+XQ+A5jfNIQdoAopEezUgWetZt2sqmRL0WJmct62eae2rFq2T9mqviQjMYskvaYvd
XsOV/dMc7e7buLmIOfCMFAyXaL22jsUpTgBWmYrxyiHe5H4cO6+NTGvTfjaDgwdxItfRBuPiCUlW
/YTYYsXNezIKMT4i6Z3dp9Iq1L0jqIwxy+KyVthZDyiwvDhhRo2urhxzmrC0pAehb/KY5Y2B/0N2
xJybA6/GjVVsAXaTH6A8zFAk03SP71UnSZzbQvpTqdMdW9aPVrGoxtK11ss4ZPUJuNA6+8eBW2sJ
yfMTC2kVOkOspgfUorctZ1E5Jwixl3FMf6557/OszX6LOlC0ar7Ff9O/9YyCEGemFgUagEIBZ9Ov
YAh4wPNbzTgKA0NwW3AaXnPn6KYNqwR7dAi2UIttxGqBqTaOEKo148TfyiOnzCwwvO3rAuTpxc3U
clvm2juP1KuxZSIgsq6JK6Alg9ZatznMnagrjfyq1rKPhJC+KDNU9lJ1eUkeh7KzG0wjEyfykRjL
Ta/0exTVX9rSKLwARjQqW4rli+4PWJfN6XpC1P0IGkJ7Kqze5cBiZ5Es/HYfZXU54IGUx3heDCNO
mno5oEIUN06ywoBLBmSIwzDclj0RG/ye+tBoYmUKz1OLv9R5qLbJPCStvWDyL9OjW073ZYrjI1v7
00x2oxEkGD3YSzYvwOJaP8zm+laPuGZIavB/dEb/AIg8BQhUmNPJ9IavzppjURJCi+FMna1S96Ji
RAjKOFANOCYtBj/aoF2to53SlBv1qBabH6tmyYJVeshCLZ31wFtvs9kr7jZNTDcrZD+OPqOLYWgx
gqXPebRcY4wHy5BHGAILEwXDC5kljYHSu+OqSUx/hHv4I6sWRsEV8gHaPEG1dh6A8gbO3NmB1OdH
QMRGUHho1BuLETyfjRbkshy1tfXPnZgSpJ4LqgvHr36sHA1ioeH/G3WINcyRSDquAEoEOJT7Z588
oMj0sDS14E6jfmjPRHVLhGDq59K6X6rMbWIOHeNB7LmjDO23EGh6gxxuSQ8jAIGLVrQfCDNv0D+N
V/pSlsE27zJIw63vcEmKa/KCm7gWK5ypbBDnDV/ESYMkxvGgRveHVSH0JHoQzeMzj0XOSLUqWO9a
59u2IeerGUsxbxu+GU1RXNkqIc55pfuRmPOKLzLn3FtO/ZHkxTSci+Ln6JT+YVHbN6n4rcWG0BOt
iZ3cJI2eIO7NWfrJhPq+tyNDyFfdfVIYCXGEen87W97E5k6EuiPkG7zDn0gg/7CGrDwQNLUE02K9
Vh3wvaro25fS41dtndUFalyGn91oYTuDwxtZLKKB25MA0dhl/uAbjToLz9iupwICx+wW38YqERGL
acOqnU2v3kqHxxrMpyyjTTJJ1ND5AuZjdLLyu1FjZ6sgB5xhJTqHfHLXsPa1+oDFq7rGLDjHRKxY
hM2u3wmGXTHlOW4w7zD9Ga58LFBxvvTC2O4Ls6dFsSsVHI7WI8f+uVC8/Ymz0huPfTGgMq6959a1
+VlTrE/djnoqlzmklSofRgBc9/aQ5G9uTnKp48xhU8pby2j6kzl60oSqkCus7QlfNGYD6wuy+Rm2
K2K3dfBia0scgxEgYWXBOM1wlEF+kYc34ciQjYEafKnRfHOdA0Ppzd2kb8NJbIt7chfb+zYXvXgb
xfIjJ0/qbhOmlsfTlE6nXA3mnV05E66MfKlZWdUwBTYsTR/RBsoX2+aOENVjC1/+cV4h/Iasmhol
hqGM0Lb68mffgc3dH1TJNQUY0ASr2zlHpXSbR4bkkuaE6nIjDwdsVUQr4QkSyRhi7L6m751/7UHA
fiec4VLOabJxpE1B/0vzg6OhjS48M37oMteqcCP1FgpsNi5nNTPfD7KCKIyIrsnyQ5ReGalm7J+2
uWvPCYvnzQRY/+jXzv3m1FcJmkU3mtgOlhO2spzb2Zncj0S6VZgavXvnD3b2aqvOutHHzI46Qs1i
m+Y+fle1oS5uMTk0g9k8dqbVkV7DV3G7FIZHEyFpbILB1CijrfOGinlMv97VwE2PUu/yQ+LOw2HX
VMSK98VA39GOOfP+6og3NXtlNSte2eLGr0QViycEVwkHbTc7C3um4k1a59LWEyKmDKd7ATRsLl+k
kQFdmLQVIcpGxwNLNA9EKuYiBvPoXxCNTGFaLTrsQTIKI2eSIt5E3z0M2zK8Cm8bP2xsngQ6NOTB
Qw++g+TdfWlMG1yh2zf5EJnkwxeVTfw51RXeXAjLTc7xoZ+fpc4KS4CONfrR5isTR2+p1inOcp6H
K4Z9FaKmpHS+zIm3OV9lgWQ4mpiRUf2Mls+D2C2oZzsHK4pVWA5ShiJ9m9zZQZnijk/lVq+IEtJa
uynrJXvjlF0fkLMRM1NtS4kFpRZR7uXSCyyLjmnQV3P1KghKfUBFUJ+WiuUVhtLTXFEbowMfv9dV
TRJk6gJjGTZ51dWUpHCWWw711VQ945bG3i1c4zh7VXENQbE9rBXinUa2xAVoW4knqFP2Ydbr+QF3
VtdF9oazKMc5GU+5Pl5X9TYGFmjX00gH6d5QZrI+em7eNXeLTBc78uUiWqcIGSsZFAsVmv219yDT
GDhTPig3M5TjAajU2XpqBukUPcvY2iAu6U+5n1Z+AC9v2q7KxdJCp8/1uNxU3UVmn7KOAsSAitc7
5mmA+vdqeDs0ZSPSwz11Bc/id1hXSSTQeMjrbJqyNuAW7nJAFHKOHGOcoFBoLjrIlPbM9TRoikge
X39c2oGzgN5qR/IQ0mgaVu2C2F+dO+7JaBzM7FqB+gsTY3R/Vl1j/RD17uDoCBvMj8gJn/vCT7I3
uFpjWFn+jOzd2RkO24Z0ngneH42n5MkZK0pwHQtS2KLjetnyWcSZw+oc+31ZHHrkM++CwvpqRqMU
lJyPwf6JY8OvvWxGOzwolamv6WJVj/Os25dNZXNoVJaK7FQ3FTOeyqTHz1yYXirVQVv0yMuJSOvI
Cru1QLRFJu/xS08VGWOl8el76Xks2esozts1XoxuiMfSPWM+mKKGg/vjIDP/0BXCeLetxTpVRafo
WLEy0Sr0ApeUumMmzQniIlMlM6scLi9pot9LX5uOpWHdmUvqf4i6u5t4J/CwhBEq8m5OrV62lFKj
vAbA4y0Bmtbd3eS0B+UvdtzikQGUsyEJ0vMMphGBcjEwjZTTiFZ866npyfV0q5NGbGqkAWQN69mp
GVOXyLI1oa00sU3z0CQWsgvf1e4Gc1sf1ZyewFmXN0uBuQNgLxBGSfZcXBKa8IdSjnWTJFnGQtvK
U9JoPLs9C/+ocqw2KY3CrqziDtwSm868PiAd82+nRRYx5jHnBGHSjrFNsWD2TXPJhH7vedUU9D1T
gXBU8r13sSnWDZ16CrvWuy0YXoWIWYpYLxM6/KVvvn1Ks8y5r3HTZWlF471/ayH5BjCnj5a96CJo
1PQh6DYTASi2M5mpdM45eO6qn2HENi9LPEaYlXJo0REJP+82URAxUyngWfXyVXkcIqQXrVv7wYDm
a59P+/02iiZmaFPgGDTNmDAGI4CYklzgXiGZ68lorqQgTMdcdRFq9ZKXcWew50lraa8bRH7cLb1L
F7RwQ6NDDFRKWdzTfxAiGq1l9OKJHvdtP1Bv5wL9Y7u3fxavV2e/bct4myfmjbkn/phrjmj5kE+n
yhrGaNZa4yEfXDoCqvsxpMtwcasMvZ1XELLXjFGaruqMC6tlA9YAA7nVhJiVjF2Ztd85r1GKrTX2
dWvLq3M9ElkYSig2r7hdesbr842JffWFUuo509o2dLvBvUodvLIECVM4NgR2z9vu+xi1Lqqn8Zuv
t4DbVjNIc+OF2JEizCeLhqzTeeFsm94rBNkqQIiF41J4Ezq8xH7emsLGdlkYV/WaQnys3wbl9qe1
T58YBf2E5kn9t1Id1VLVT2ljvKEuKzF71NZHb5ddJCR8HqVVLwsj559KVdp2kLXngJNUM8X3okbs
Q071SEazkEEjcz0alJd8m8SIBWeZJiZpJJ89trq+4eHyEuxFNCDmg91DBKH4x79hlYt9LEbTf6xZ
sABcmDaCxZwYpBH/SjpoPAlV7Iiiu+DLCOYNIixHnSTiUin3hsa6upscBFeBXmhNwLwm0wPH2Mo6
ppGu9/EoUiImCfs48w/8p6L2fhrSeGToxOLhZennuOSy2myuujn/SAqFlrvQChkvzm6RcZmd2eVy
2TLw1prQXzq2pLDUBwY5xt4LVDUeC390A1d3GGPbA1Vepts7gMMKZW+wJJBfPc2nvBlP9Nm/SW+7
AOxBQJYprEZSu0nAsxPMYbdx3roXpU/DYTYLN3YLp7wom/Zf64s+rCn1QypTokis9rqT04Of9x/I
pLnjk9XGhVo/tJaqIxoz7pnQJoNMgyE9cnahgbhV2t1sWK+ZbvVXAyRrJncOtJ3SrI8pkW1x1lT6
ifBnLerssT/X0CfoXAwNyjP7A6ea/zBqgjZcMhMP2azfCokJ0hhW84BGF3TiYH5PUFc8zR6DFGfB
CAqZqZn/sHt3emLtY2Tu2F3oMi66dC3NKKHnCPTJ7yw7T6PPkmVG3Anyp3ynvrGGsg+TzbRAlWXI
VWIXghH+F5EWl5b9Ufc3xqPZqt57vWnedjRSFRXatv0oDMI7Q30ttPc9+fPOJZXtlLPhdcR2ucvJ
Ix/62i04ImGTyNNoySReH0vGZrWu36mzeLSkqt4zrD53zWwmN0zBxh9a5vzEC7uqwE+1/tLShn7Y
yCNGPezOdagyMSMUt8d7w0it7bYDdKSC2a2aI13QCkn/gABw2/lrepPpLt7TbIkUJngk34RqHTIc
lZwXEu1WBzMzhTabwSlLpudV2l+oEOynNpHNQbbrcOI5wNnc9djGfO9l9hxW+LQ2nqTA7dSn5p2n
98l7tewapCrxQt010MCXHNK1q9mgqLlGMcpoEIHBFTXEsByk0zXwHzNnvFg160/gDEzAjzKB8EKT
qEyDmV7YHmfh6EHN4Ybybm6UHbpO0710ymqv2pYBaEBysi+CUdDjW1UOZI914Y2Uct+8xRwlnid+
gRN57bi9jvCJiF12iTc1aVCjOmW8fWOOarx2uXtalNvzcIR+nV1vSqkuYsPyg6EbJRXTyrCeKF7m
n92wV0KsMm9V4bjfrC71eLTHfCBWPG2CVltailbP8upAkqYI68tcnuxRDTSfBKIETAgkgyhD81/K
TydwKnOJ4iKRC9D/dX1cC4hEocmDFm9QwTMK+p16b7BFU4JWKppM9XOmvI4ZETysGmX91jsM0/Hv
R7Ya56PMkvZhkZPxmudU4BGYh4rzuq3f9y0wZ+TJk/fY2x37KWtZc19u2vSqWRlRgWlLX6ZCDnrT
rdrwWihN3DKVXI+GAtTD4bU3H5DCu48+onSMc3riX5ElYoAgz4rL0HvTk2HszJjFGHlKm5plNahs
rzaoGZkYMi3FdODOwCqjEflxH5gdOJxbOvwD+4nfmSU0OmO1oUPPNle6yuNk6GQeEft2TxY2glY0
pcwnaUM9i82VlxzRfliXTC9LVelvid5TqG0Oelc6HR3oIwgM6Hmy9nV0bHDqGruuJAqWzR4UEoed
LBayz49KwwiNIqO66pLFPU+zGGKFavda6XXNCNbVxTUh0fOXISeUilU2qyIs94hVOithORm0B1W0
6hbylHeqUl3G/bSpI4oAKzSJBZWB1s3DjQco7SvdW41NbFbPgvruumva+TAOVP+0M126NFr6iMd4
Cj3y9WjaNzl52H11Mw7+D23SsTIQSnByUpvskHXTb/yJR8PM4VRlrXluUt27B2u6kIdqTxcHFcwM
Yb6MrIFTx0jFGNJv7i596o83WucW12iSvtfeosdTAv0v99Z3UqTT0LAIR0m8nLainlT0yrr1RcvM
BN2insbKQHGtcaMf00n1IfI541z0DT2bpqhXg0bbFqXmokc4WVyQ5vCOSDvq3jJIZCFHBQbj3QK0
y9XxFXpuQx9Y98syInBkKh8XO8VGk7LZ5PbubMaZUlxrbhvNNuMbeqw6lUaTHnT84oHfbLd2sfHv
RfLQm8t6N5NMFRhT8eL3xldTslij8I8z+EoRnZJ3v8bj4JP2Ec1zKqOemOaohsh2MPTCOs1WdbRk
/riRNxI1aF/h3YgtQFR5ZxJMQBR6+6r6Nr935IiNyThRWA3HabOmb9rCGMQwta9IcAX8aCrkBY7S
UU1s1HiL3ys/bx/msX0A/1CugWg8tnZ9PwimpXaHZpUo0V2JARLfuAY++WFp7nizq3GCjvUfJucG
6ciCTTrMmD9ltVxPSi3Qa9vXz1ns/46t/25sbWHm/qux9ZfhPf1lav3nD/zX1JrgnH8IWyAsFf/k
3Pz31Fq3/kFEC0JnXaA/Fsil/xVOrdNF8nbX5T+JOe4/YAoLE5Gta7sMuv9HZGrclr8oQ4UHRgMx
BeTrfVLt/B5v0uDYpY7y1hufseJGI4P45fVQOTPGocoyz8WyFJjkpVRXjGVAkawrFm40PvdrW3en
rp3R/bHq3ud71CYUheUxXVf7nlW23wV05ZIlHqzUWYycddC9Wcn8qLnrUnN08SfPJ6wmWVA3n8bK
YBWX88QmLMpEu/MrZhSXpsvpNGIw0xvvp6ncNRtPMxiiZTpLd9Sz5Jy4sBwh/3rt9KQmvuQnjaw+
OnMWusMYzWaHk4KBIxVJQVGG3G1im1fMCGVl4K2Q1rZCsKqsChB2md0mVZXSxmMhI+rUSZ7rykif
t6Ex0TYC1CshbX+fAfM9e7lFgUAIfI6Xzr4dFrqUG9bpQ9ok47uviyxAaILDMKM2DR3slaHfTBAs
AJmReFxfckl4i8u+VDD+gWIspvbKoEiu9TBn5b1NCU7Wzsvc0BwuCk2uT9qqjxu9cvKE90mLsg33
aGS77XtKRDO0J3LNEn33ezBAL5ZHpxRZd6OWnj23YMs1wCn+r5Dlj3rIhvXvVgTKeRzP/28hy+s7
CCFwC039y7rw54/9c13QnX9AMWQ4YMOkpbvKw/9f9mrdsP5BVJqJr5pn/L+XBNYRwaRoz2d0LIhR
vIV/+i5s0Fw2Qm+T0AOLmAj9f+K7+FXMjdaL3iHBCSwMqFgMPB6/qli2ZmvJJh8ZMU4lmIwaJs1D
B7nQCWC79N/+5Yv5DxaI/Zf9X6Xz54sBc9zJw77l8HF/06dLe7FKNx2sh1Rb1VttNcbzOkz+C2xD
tmSU+iByhWu9+1Penf4/XhpQGGszwT58qb9+zkwr9GWg4/iAI5uXBsfix9M6Y4dyRwe3IwUQ4gjR
GWYIYB69+F+//K9OgP2ToxMyoL36HqNhlM6/vrxhZrJGbmg+lMRJMPvTJrJVxDBu6pI1+8stSDr/
RqdvcI/89nXzotwqFnuLg3f/t6+7VnUySuUbD7ZRG8815sSzgaqjPeDr8V/UQGfTykxefNTHrj+m
wzh8OArFYKk5fA8tSsqjcmW+nHowLUm8bZv17jBCbUNO30K/mlRCsz/bds5PjymbAy4qG/NvXA08
G//2MRyIBLYD4Hjfw3797rzZM8fFTY0HxM7cKyPk4aUkyPDg9Yv+DNKejOICIeZfX7FdvvXrvYoQ
hFAY5I88GPz911eFMeTmi93pD7k+6c90bPEGEt39U+QLBy99Wx5tS+m3zHQJqltTtLJ//fr//mC6
po7BwsUMzH3z+7My+X5dsLTrD47mLI/Z/sDQ+lnu5dTqfxOSqf+HG8XUMY7AgOEF/w3rnKzuUAsx
6g8WBp1HBNFk6E0Zeh7mzWb/sRSW9T4JZ386BaQ05c48LBoWx3soadrfXO7/9MFNcBJwWF0b5cRv
d61haY3figQpNarQNrRcYG/XnL7FFGR18Xdmlv/0kOzWNp5L/ufav+ORdZWLTDMn46HrOTXSwCy3
EDMsgBdXEMfZ5RaNyr6h5ZBxl/vlpt9WE4J1YCfwy2jib82V5kzLo0SeIWMmCoC7kGbH+kD1lKYT
+th6zXnKOAhjq/dTAbzor++V38J6PpcX1+D6YcuxodN8Wkz+hY6RlzIZPYRkDwn4hvawuV13+rxv
lqFSb10Hubyk5HsDe+xjtyCkQWawXsJ+9dsTmGWM3Vlh4cLY5o1+rJ6I/sPrxPL41+/zP6yCu5IT
CSbMfssWvz3JGn2ByUE48mBDwM5w2PA166pTb7pI9OcWi9vf3Nn7DvrLU+wIm7uaPRcXI3LR31+R
lG4jF8XaP8zKbK7sobLfE8Yw/MXEfTAKc7nvTIdpXZIlSReTlwdIaEby8ZSNuyHerNfhw2wQgeeC
FUAQxP2WmRYL535PfH5FPbuGE+Bk9q/7yYWnhSfsWtPgAxoclW83KGt/wyrmE/z+sfgkXGe04paB
he2z3P+X6715he+22SofGpa0EDPM1kW5q+V3IBXo2dXoA+YwdydmwYaNUBubeZWkBz/FsR8A6jZF
uC6Kcjs3UMpUg3uYNqkNJ8xUow6TXzIBgErASB+ZJdIYkc7aFxr0coiE2zQdHm4k3yFpomkfCUPw
ZOT9PMZsAWRYImcBQeSp+mHE4H/l9VV+jeq/uSW7i0O813QgnAmq0L7qq1vc6c1a/hBFr0coGekY
Geu2Kd7flH6sIGSdy7Cm5A0N7N8XgktBzZMep+5bkQIoYAoHqN9qehHZburhKHJdTb2MdZnPkZm4
7pMP2xpZfi4LJ+iMqZ2oj2VH38Dx1y7Eb+B9h5nLfKOu+qE4bdi00b2Oo9WdjXbNtHPi6da1IUfG
6WpKLgIPF+jBSUcHYU2ye9BmlM1Qyfegv7Y3oMBUqVTq3pVVyRDMt9IkIrPdf5HQJl9UwT3ioqGU
gdOgnSXjFDEppQGZ2PoAggMMhv2OYI4yofZYbSgBWYgnxS7QZys/trp9mRJ/SseVZIWSMZ6el+41
M6NiZGfW6QApJqCjcNXFlASf3OAfa68xKnn6Qa5NldLCzRbvjJI3vZ1ImSFTvXBQ/OG5OIos7yLy
gyTAN6s7dCSHcHrExinE9lXvPTJwkANEBC3R9xuahp502x9dokEPHKWab9ja7a/wEwi1c1T6wY2y
/CHHJIeEhr0sEiOXB7/UUB+xrtuAgt0p5Mb69O2AqV4QsGF0D0ge+bBapnILJy31rNleVlxNtdcD
z6trUNrP7pQ0wucGINvHjSq38mCGDqvl7i1qcooTg7+jEzKATRdWphH5ArpzBdzqFbqvvmrp5Ji8
3SKn/7K2a+UdNLEXP5u9PKLG4Zuu9/AdITFBstpr1nvrzVhb0QOBfKtkUn5ZtJ4rtiYDmwJOjxG5
m8+6QksqO2Yrd2WQevoeSFvjOw5xBas3H9AKp0TMLyX58o0WCtF50ezP3F61ZCAJ9YAlO7NQHrne
NoTb6ljviT1D5cwE9epQeqxG1UzySrL5LzMuz49+2/GDo8PCY7EOuVbFIb0jQSZoeUK9sKpMfj3E
u91yxdzrirIueRkdoi2KtWquirownltiK/hDTelfDwNsEISqLrqz0vIrGen6wL+RcAp7iB8UPgba
wQzREP25g2fz5XQGOzVRvCZ/ogNpe0uHmiUG2ZV3LdvKv/bdZnk0bIdN/U9bzb5GUsN51wlOqis3
bztG017/0fr7V7mjUJ77fuQfP99txUw9Z/Ro4R6m7DQgbGbrfftZixQlg7m7mik+4U2TfjtuXJHJ
ojJcjVkH1Ih00TDy9XHMOG6YJDRD/8WGnA7L7iTdq8fV4LvXMRdCMOT5zfGUTP0HovXlEQx5/0GL
kzGGzKk+RTHZ71hg/ZimS/+hSnbb1pftW15A4w2XrF8fPwuFjXDL9cI82fkTnJD3JZe25c2Axcg/
LLN0+S7wvp5h9NBrRzVD0GMCSQKBcXPNbcS1M/Z3SzgXG0/fdKc+4R2JXFCEN7BsY1sv1BuKa3bz
tQAMHCdkc7+D3YZbPDUEEJ3bvuOdo4yngsL5tC7XrdYxhP8scJif+nGx5cPHn4cfc9+T19xnFEmM
goVAD61jzhyWCeXNbK/edYqw+j11Md8e2XZ4g3jnwEF4Wj3nAAf15DssZF68/nyEdJygy2GiZ0IZ
xM4zRN384FkzScl+zzVSiUdxx//10Y93MXBF1rZmP6rA38UjtuoUBnS1zg5X+hZ+sXvm4zRXCNmc
R7RoyCe1tOTdIpvtTvPMjovenbocY8StQHyGGtIa+c0oCJd7y8PadqNmqaV06QlrgvNfc9fiv/XM
mLYebyaxuYEHdBj8Vfd8RPqZ+5wXeFTjoRXZETgU9wiiCfs9rejlBMCG+fyfiwCxI8vjmtV8KyXI
mmtntc1zSzjLlXL2l6/mwQvB5VKOobN9yxknXvmSq0q5357axOSqAiX1IvTY+/cwU4L6dZa8EJG9
3C+rdN6RqfG8krgCyyxDnh5Jmye+63reyeedCPBXR2qTsQTYOjV6rCNyNqlpW9nf+0tizGev2S9Q
3hIFdTCapD1VHUyTDIEZMy+Ooz3EyYGiyPB2ULUBX+hpFbn9bua5/mxoHmcAOtlsTdBmn2ez40s2
jZ0zzTrvY0fNfPXmSMWD3uozsdH7J2QnokbucXjgA8QJ93ng3WZNvW26ySOK9fg5Y+kWwcyR9hlf
qv7MfI/LMuxV2ubNXKfPivFz21w3wR2lCPo+m17KZ99sBejewDubjwYe1HHkJLN/a9jCFh/rpl5u
ESZoHnqHT1EQ2v6u0ECZpJdhkS+LmsdqWzE4uOZmQmRDEh3YvWQ5ygoeLoPcHtKq+s5GHMEtD3GK
NuNjmiWOGc+T257WzEZAYIPHtx+XbmbYWiP3R77QCfsdoxl3DX/afyHXmmNrOVrnAkJuE0O7m0u8
Gg4/jRPcaJ908jm4RRIcvyGZbPot5N997VuMXDs2UmeRpxSR+5Gc2TXktIp74vML+HMt2g/uU26w
LuwLaydddpzPe5c5I9vaMqjutLjZ+h2mRPLweX9aKDmO8I3pMNatVdy4o8ct4gny2Sy7mC6pXOHO
/HlDoNjzfioX4VNYdVN30vKa1LedPyUdeimfd4VDdCg5JDBjbx1w2ke9rfXb3N67DUWvZU3oAOAg
78uGWBCSZaeFbmvQhCD1JNuCbP9A2lxx9zGgJgfQmvlvK4VQF3H21G91i4/ALac/Y5Bu5kgvJU+W
m7TsMK6x66MUN82YN6z2ZqbfYb7fHjipc1MLTUfcM+B4Qu3H82UVQ1FBt3H5stEq7Ns3JChweyjq
aAaxAeHRkeY6h8xxWBQa2U3JodU8n+UKHgeBNCMRBrHZrrwu/pXlsVqtzgkUR7UXf1kp/GymTQgC
J2aMs2ENWkRLeUE1Ri20PU26ly2nYZzq9E7f+XfnmmX0FlE778L2Bl4BaxB3u9CTrXse7JEiRGqF
/yJ2LlcN84zP6/rzvYVM5Gn0lurOMO0fqZZoYYFu42SXLdL4jpV9LmT+U6KIDtw9UM3E6VOEU2Py
AC9sj6CS2JHWDNHNQMvTp0JZnZciX/meM8UFbWw8ZEeNBPaDqD04yrIFpppOS3WGspTfmFav6yG7
ZnXmZL+caqZbYEKVqlGiQzHwl5J6wTEWFkOKzCToegON9LL0g7i0++J/QeVIIxKHKTXVaJHYZ5Qw
sLTGoAtDl20Erp7M2pPM/w9757UjOXJ221cR/uvDARn0B/hv0rvyrqtuiDLd9GSQQf/0ZzF7NOou
jaYx51oQZIBRVVZmksGI/e29NrPmZZ1L/rPyDT4k056GaxRACjFNkMZE0VmXqo49DqXHw20VecNt
GoKmJfKrLdt5pHE+KKcZV0Fv+tyqfjT3X+s1f14wuYhNmNj7FbMM/tLh/DAJItZt1P8yJVPksySl
vvTXyfwMNzBoPgZ0xoT4iebFTqfujnKzhDBs3bCmlc7gBkf0tHpHmsU/xX5o7XvpG5fhYPuPhtao
D3i/3gpPrbXnDMb3WjiC5yduCa7WPGS1mnBV33e88vK8bvpJyuLo88Bcnyc1Ipv3mzLwvVNeYyQl
fo181Q+WfE6xtC/KhnWvrriFmoyLJw6wlWmlvXHm7B2sMtyzS8520U4wg/1qdY6uiB+03HHNDCG0
U/D52vcdRoVGovFkzjE6WXvXnXR3z4FtaObWEzxVRJq2xKTbDblBUh9wfSAmpJNxT7IJyc72WZXQ
efhI3ETjsYF/npNE7vBgcbrRuY9QrDHLu+ZeYg68rKdwXg7OW2abbgInFAM5HPBYG9AIrrd2xkZs
eOXoHvzf8EC14XSKsH89YO9OV4o7hNWZ08604YE4m6icHNPmaEntmkr5csAC5Bfe2qzNYSdCW3tv
pWl/JH47fcXw1xG0GxTb7T5jeO+MAuVC6Sc6m8tthrjyZY6J1rijAgwsFdWRQNlLIvK2OcSX9KJ6
qzBx4qdcNuGdwx5/WLY5GMJU2fqWloHx0jdl8BBphJfLauQ3kTOLFTvlwg+vp0LjxJrRcmrM5nvi
RLXfOc9ndea/M99fTXics4DyFxOeWL2XJOV/HvB8/6nfBzye89tZJjZsgQHmp05iX/zGBe0gqVuE
KSjsQBX7ZysxQ14avy0PScgSLtrYv6Y8giQz9dscjywxjw3+Fj/3s/A2U2WoNBDWXMwyFyf/LGYz
mIhSglzO981mnQOdsg3mutM4suo1NUefv6f0zS+Ifs6cZ9bdHGOeR/8gUKW8aylkbh9NW3gr4orx
dprVayfzql04svP/69f7rPOdX8+inZ22MJBL4pOy6CfOpCj1tI5uGTmvyXy0OG9Wld39Spj/rL3x
UnzVjAQYSOiuPgfTf3xrNXGDsE0N65jOZ3DSzABjmomlyREhqyq2u0c3TViv5oPa336XXEmMEPEX
MEb7XEzaVykYDa22jkogSxeenGV4u+ABx/b5VzCpf5sK8Ea5AsmD2A61pCSQf36jQ5mpnLoJ69iX
DPM4ArIjIcegsxnuGpenRYEMFx3AJXPcGWsOyayBJceWIYuRNUTxK63+379kh/md4yDkQoQifP/z
H5QYEefcMLCOXk/r/BKW0azIpvzH/99r4clg8MolzIXz6YIKE3pAcDhYR1P16AmWpj5cKoBv23lb
/dff6vw5/jhpAmyNbj9j9FzQkPrnSQ81xPPjp7WOXRB9wzvqrznA/N2pyvlFGPCe/5tV6tOXibBt
uY3IrOOETeuYeB2HGY+anaXB3vtX005j/nQ+vyUTZKDAbsJH+JnW7QXQiCcqY46JoJ1sdR6gYL9l
953VSj57VcqJyBm5SeeB0xg15OE72oz++oP9kyvY0S2WPX2+VedNxs8XTCAo6Aic1DoOXiMOZloY
GlFptkZSU1yhHHzydZoK9urjRPnj6nzz2vMElBXkVxPoP7t6LYtqeMimLI6fRxFp5oOmJnl4VPCU
bs/71J4Y65GTjL/+6zf+Zy/lOKbHBI1Hy7/N2QfpccR2K/MY23y8vj9XsGrZ7PDxHL79v36xn58t
LN/kWZkdUnkveLl/u3wloXpKeqR2wD7ICUHTauZMJkLX1CNUdvhsvV9MCI2fl+D5JckBuLrpONw6
gOg+Pc5kOkHAMyCQ6+Tet7ht2eirWuGD6TVmpQprz/p8Gog8tLM45JbKmR4cXa1gOw/Om06Y2dZ0
XkG+Sz3jhJpCKRVc8lU8yzJ//SHZ50fsv24JHB8OxPd5iI2lw8Rk9mlBweeTWENuWgeV6TnmQELv
Zexom9BQaUuwKR+ZKXJYqEuizIkcnbXBL7upEVfy9ZjMeIqAtk08mXbYfExAGD8GWLA4Gc+nWsEM
I1qxM0SFsQ2OeaCM0QHPhx4quWtyifxYPStp7sjPAVoXUIREUj0389TKCy06xxI+wMXIee8ayAda
IrYV/5FkuQbizA8qY2com18NhwLuUu5H5EOymqDSAp6C6WyzouI1ZoHqXKtWVTMiBFQEbnOEJLj7
UckVIi2OUGj2zbTV2HI7h/NsTjVhjg5fG0V0SIG6fTBFqp5dWcAcyY14vDU8di2aaDS0Hqqd4xdj
9PnK3Ml0iM726EOPFeGt56JJndcUTi5z3ETYr6PhI5AbRMxgACLc5sik73IKxK6r3Oq2dpp8a/cc
e904tKiKUz6hod4nzbw8q4+ayUEHTYOZX4BMYQ7WcJsxLnwcLRFvzwPy8+j4fEIF3cTn4/eBe6tU
OD0KqIMf0p/lgLPZzhhq9ZFSZzxD/Rqq51VgmEtvrEEKS1KVTN1GqtyCgt+Sz8duOKTobO0s956f
cqRiZjKyQ78xLt06ASY6YG0fXZIyKytyLCYTxTi5B/KSszKD6ngW3/VEcPplmjasM11DNjwLpFUM
TmCV4kJ8dQkJoGImxIoRBLyRRLYeuM7hfJTU0LdIm1sdI2IxzAYQ03ZTEmMNz0WnJK3LFRyO4Tqf
POMy0hh8rUY7R5JB0Ee5cMEny9/Z4UZhci13HPnIZ4NEJ6gDIBRm8UDBiMezqGlczB1jxnMZoqHN
+V4CI7+Y3AzAlREzwqXEzX51mKZh2SlqPwNAZdR3oTmJ3URu0l2J0LFeiq4r7j3iCxd43rNVRVbN
WKAJGN4GDGR9iLMSc2E2jxJUNgy4ACciV7oKHNS5Ke4XusNcbOHayXjpgXUlvhCRs8hT36csTiH0
M/ZYgikd71Ngqeu2jKQ8pPoMU+aaJLGkq+IGyYg0QBK0OYJB3XzzrAmSu3DbS5rLyeqNQ4JbsU1Z
mZbTrOr2usQ832D4+AJ5sFYbEPLOO05CYrXQYE+MOutwMxs5eqAsMl4ZkMTABrXlpU9ZGHnBSUUv
4TyBA9MtL4AMOVvmEMHRGBu32nqqd57p2J4JqwADsGKWB9PKSacPvTW9FFmVriENTUvilHyNHlaf
Jei04iWRiduQEmPkm+q1u503o2rhDsw8V7PFYF2xB1wA5M43YKSbeWFiCkBk87ZF8ttjZ5H7pKat
Z7Tb8SsBkx5EUqzdjH6Zf4nTzlpSz0Muq4jp/qvArZD1eXUbOvI8hO5VIHClt11tbHJZ8os8Df2Z
gSUZiwBiX1oTKls5LvOnZolK4ZrUPWHuCcv5m5f9iZ2ut4N3PtqrIu6AKhKIZFCY+cHKAs6BKC4V
sryiOLUcwWLkZftArIIgSleoTTs3gReR/p4Rsf7iZ7GgisEYNkojptlm/B1+0OQ3PJUm6Ecs7yfH
qnoav3S+URcXwgn9objG8iVpcmq4qDWHHdnreWygiYRbQs2jnXUpG5AkzjDLSMIc0NBZbZuPsNZZ
kMrJN+5HfeKS1RsmWbXb4jnx2sEGGx5HUACastKZITOKm5aM/ksiEQzMzoqXO2b1rlE+z2OvtQl0
E2Mtj2Wdzb/NGCRkpbMPD6fEXDaE2VcbOEcp4A60aHUIN520uPXbyIZINVDJuDsPn6Tksl2WLg1w
ixSt7lmUVch+LqLPwAAlV86UVkWZkJ1Envw2ys6aR4vUU2Vuo9ZFYvVf8aRUITkkzX5ing/RI/LV
DrQkbRPFEMbtIjOS6E11zWuCrLq2rTgMl1S9VeoLAZZWu6MaEueuJyLvskMtWzpEUtZR31cgn5xp
M3oztt4PiXVRF9k/dHad3zKi+CYycDEgvq5AaiJcORnVT8KnPsJqpfgImyj8mOK4vwtbl2+OOz5Z
V+iyPqMICkJp7o5pRKky5R7oEqMyeugJolCOxDq+TFsV9rvGH/SjVZXjRaUa89ahpk1b1Dm0lYXD
twCUEj3hUSu6gfZOoyHCW9fWFV2X2VVFQvo2j71qWZeGeicRkAEymMy30ne6Y+NImCh2IGIQTZ5J
i12Ee6Jvp95fgHllufADm+yjZx2wK7wFZFzu+iZM8dG1FOjFof2S9k4aLuss8nlWFqSD0LBDQGJj
fFEP1Jhqfu9DzehC9UoyTtJTjU2hiG2gJ46u4btoVF4TjB3jjcZmlriKIUSwiC3M2iBFCvPeIcC+
6wpzghwRBSd9bKebJgI04Xdh/9xmTdWudaWs+DDEw2AvvRKPzcILgMpcOgMC99aPWgU7pdBOiTuV
DxidARhoaQv2SGiunqKLev1lzxP+m9FV6qKVstsOPAiPRaJyEs9+FKDaGxwvIha3LUAdI2akLBm2
hp3b3YSi6ymGSAJ4gJTq1M/p0JjUtmT2aYgFyyhMEGqPK9kV/UpAQgng8ZfionFHmFY4qKgd9DLX
YkE0IE0Jpw02vlYRYZXou5ZVEVjKnGmnWje+VeTxH1pjVI9eRrNbN2DGJ5TCVARgOJk8ZG+4WokL
ibV3iR4GU0TssuE51OgQtWntJMRt8VFddxPnlCJDwl7asPmv8IcND3rda/QBNEBQY7MyN55m1u4C
J6i9gUBChVEpYl9tW67dbwiVw5P0zOa9t+k06p3GiTc6g176HinQBiZbZi49gh66PSWZVbyqI9xM
O7eR3+wIToJKsBUsplg1B7MfyL+VJb19tChU48LCgkZ7CPl4jbqztdCdoAGjMLcGTSNQGcw7M9Gu
tRrvmLYQb+DndV8i5tXYasIpuUIXdnWK3ovsqiAZRDm2GDSMwybfWoaARGZf9tnQPg4AxIiYn/fr
/9VCf6GFYlLnYPKfpdAVX2Ydvzf/KL/9A8xNm7/FKIPfjfT7j//9n+8//7so6mJ617FREQP7w9/+
u+vddX9DXYGeOB+GzvbzP0RR0/sNqZShJz5pRCfX4XT3z1CMh8oK1px/SFOZEPyjv8NwnJ2kPx7J
fJ2sjoUbWyBSOOb8zn9U8kYmJQYTYn0HUXCZh9+yULsaRipXaYgu+mJH2vnAFnXtB+0XMt+LxFSr
Hz686++v9Q/i5NdlXDSKj+fTSRZ/v85Lg203ec9Q9T8pFCWJAel5wOFp7KJaxPoy+hIbYboucqYa
IJl0FsiVL0NiX1lwIWUIQFVYlGqJZ6uDdE1HkdTCC33SFtQnbBowO5KGsyqaXXE2iEVJfXTHY1SX
75w/+T9xFqPtF9YEOWUCgTQMg2AmkvmgpnIbU6CstPVo+ztGb3NONnVO7CgKar/0pmyJMSrTXOlp
C0OueBxJm9RcE7vB8RY5i44lzGPY9i5zmumGpwMi01zR6rEo2Ym3MBtTrVV6srT2JouKdg3SgVXc
b24c/9kwtbUK3dcJtvI6TwwcetgWHBAmlc96EbHBzgD05Mu6TW8HLbinpXVuxMzXzGVfOAzo2zhr
r0E1kCIt3qaQKW+SYmPvsy2sCG/RN5yUzKJ4zwdL36ZEHRej3r8XVrgKWfVOVDeCi9DhBjmk+Wk2
iFPzKsyT8Lt+8d/F5ReLi2G5hvnDDbJ6bV5/XzsuX/Ov//s/+4/XqPxxOfn9J35fTwzDoEbe5F8G
qp5DW8m/UjSG+xtjfcOe023nHN0/RyxzkAZ9SqcmgNwNMvYfq4llsNBg7NcZhtvMK3Tz76wmrEw/
Lyc4jfHN8mfhSSFy8Z3z/+PMwwiq1nYD59KOaKENMTNWx8IdR0FQllMHAbBB5KlZHAYWzeyOkYHt
v6E9f42oz74jyEyhnVGyZXKM4SnFIH3EHg9sKaNuIeBY5EBm9xlzAEMC+dLcatkca4tCNrkPelFR
wUe5VWbmx9SPFWjoLEkuXRH51YKWZm8Tkxrf58gLSzfBJ5rTEQa9IbOw9nn2JorZua0Zdt6k0m9q
4Ad9cMpMyWrUimY7Ol11YF/cf9DE8GJxsv+wfKU/07rubnW0lRd2tPrSgke2d0z1yvAdJvXgRSPe
MVFHR6q2h50uS2vDF6VdFokWDCvXBTyH2l8Hy9qnwZZwOKPmvAPbkZFPZ8uZXGlRJJ46TGtWC9TA
iAeoA3Gk38K0L2+btqLGrNGfMjv2Hwab8O9Q0Poohf+EldRZdzqRWrPLb6xE49DS1uKyzvN633Jo
XOpJHIPgpG8BPFJ84WvZq99UBGslZG5bOumx4rBPc6vWvanUDSD02uYGFTn7mmdxvZ4Sz/hKSov9
uafqcueL+CtIqHrt9/HwxTa8HgxAzDmukh5ctDzzXoRoOV27IA1gNjzlcf5Uabw0TslpNll3z0Gj
AfCG+AqhJ3aXtnTZ5wJ96NQig5dqLFDM8zuXNDCedT2S+/mKfKg65Ww8I6BOixFJusMmUeE2ct2G
v75zVxhZO3Ord6ZD8R02gBY6iRHeWqmRXtMOMFH+GunLaIL1EZlCU5AhB5tXMXEnuexsrSSrEZY0
M77rKd0+2bkcT9HomBfCF3C5oqC/hqJQbwqIQO+NZ2XFgigPAMYUqKLPEZK0cm8Z29xN+hNN4/Fu
sAt1aoCMQeVx+vAjwg8+G0XsXWTgPaHqRrqM2OlfX8SNq1/2BXB1p4bzuagLQd9gBUGP1jbVPpL5
5qhZmaPYpGZajXDz3RgNKOo2XSRs4Fg5DLYyF/6xAy+WAIKwUF6gN9cbvx9OccUf5WJXPqhpVPQ4
Q0BedKmIvpXtVGILpFHFjXkQ1rb24dDKuDCjKIGxTF8BCAMN8tYwUeZiSlNu3ET3n+JuhPJYu0cZ
FPE10a5ok4W2/tY5RrYRseG8p5S1H6Yh7yjA6xBo+pqDRm00/Re/tMxrLQ0oBHW9ADJA6YfLIu3H
Y9lrVN95HoXBGOV6ucoDLVqPrZiuyb3CrKz8Yuk4A20egyn2WNHr24zZyBavavtoR3Z5Q591RP07
QibVCGF81KRJTzdtazm4Ad6SAxtBXwi8mcvc7akhqLsRvmAHDqwJxnVMIdhDN1RAIfvK2ETMfleg
0PhKQD1fRF5RXzsOFQOBV9/HKQ5NSgR2Nae/q77VOXwM7sFuua0BQolhHwc5Xcm9U2JnFtra6A0F
AUR64x21g/IiV524F6JKXgBOQat1KI1u+xr74shRcl/ovns3JJUgbauWJqjDi9zV1npR9jehVdVz
p2ayZPHETtvOjed2EeHxj00WhcpfhWSV91NlfBi97VwCFSn2wujEPicMuYgp7lnSIkejKV/ylupz
DPcxNnRXjsFiFGZzN/nR+JVKTqz25JzpH8itG2oVc8LABv3HpikixEo73SLR0JYQsJBDo2yOcYQ3
BScsdcwzzsfxOudCHwroeXhz934Y9asgpb7PLPVoN3LEAX+U+evagt62SpTtPPMQnHZsoDXqD+i5
GPoIe7pjtd+SQAOHhjfpVlWOsZTggGY56DWc8nANlyxbibLrtl5HnG8pgyp6FlPYnOo8uwXr1YL8
hsNp1rU8Cux0mE5mYsbgTde6EftXio7FatG0wbS2QLhsc4sWaBQqb6VSr1u1bmR9DUf6tQlVAhSO
ZtVwdoQHaR8ta8fWTpFmVSC+7P5JDn68tAw53TqEkVaNWTrPrRdxb5gO5BoqpPdGnA4XBWAqFqyw
X/R2bL2kWQd+juTLpREUBbCh0njt89BaDc30ELQs6aIfxc7uHJnj8wts0KIG5Bt98qjby24n3diz
e9AXoEYMh6wWkxDOlbYPH7sjIpSGT9pg57CE2AaPThFdJ5kai4VWhf2jHjoUXphQk0KcoB4raODv
WDe1Jd61k3I185aqx+s2jOm7yfTsSAtpurS59u6TUeSHoOSQrzmc2X2jODkTkiNNL7fp6HOp9XXJ
7tgM6OYuQm8XA4TahLTHrpXZ5kvdC05JKtNtST5nH1ARCc9Uh18had7ihoJKm2P5DBvA72LIZvZY
kJ9Cu2b57oP+FZKG3Gok+I5Tp9x3w82yN+aw2qWtapAZuQ1x3HrQR0tdAvyrTn2PzRptf9p6yF7r
yna7Bwo/24Pt5K8JZvF9BIFtU6Vxue3aEQlmylwSw1qoDrEIEM8YpdyqsCivpwpCE6w4jiJJcmOE
UjyjFPXUL5jE800j6J6MONbmokWbEpw4OYjY3pRmMs879KvUsR4HOCsg0fJsHdP2unDDLrv3vVBu
28arrqTXGMtBSQyJVfDVS0OWwDCKkLl9mEiRynaqzGYjmNUfJcOrL50/S8uqK1fAQauV5djTN7vK
7iMaZpYiTdy7lKbDTWOkzZK/b1w4iXnRsapS/m68BIqCqLy0oqtElidqsMYLYCsnmjitB5Tz4lAl
dGZaWt1tY0TMTTykwUvdjsPWGuL6ZdAKeAQ+DAWQJ93e7WlxApb6AnMNOrGeE9DpqbOwwrMV+FVr
7XFVjybuTUgsB98fEcXD7Dg0GF2w+iysMqe7MyvDZeTp5TLS3ewBwbO4Y1OVHgsCKy3jwIDzWJ96
yRVFWcbWd0N5Sc8J+AdTbr1Bry960wLlhbq5jRKL6WQkwpM7u3ohkLW7MEhimxU/ca4rG9xIBC56
A8+EGU+SUJxt9S+obwkScG3DvOmN6QrxKlmmxGcPJciSje31w2vrBR5z2gqiTAAg00YsDsElOWNl
0Q83De9FGskXB5VLZ5v7moco8/wh3/I2rzZJXvglwxat3o9KJ9GSpNounOrUwTic5kD6rbSAgCCg
J4ElxZGdV3QPWeEHBCGxsoqp55Hm1HTY+DqTsDS5Yt+7bGI92/QChVgPJE/QPjAO83RxyUNYriJ8
OLvA1PRveL5swkUZFvcGcFDpNOGaUVS9YOtByW+W3tgI/+ZCwT87BgGo3aoQyV7nq35Bug139AsF
axdEHxmSUaWHWiGzhdC9VlWPFZycTuB+IahW+xujde1FPOk3Lng2ATIKRJLRN8b7IN3sigoHFoRO
UAEIwnkTFADojDsArfSaroIODNV73GImt5gDnmNSAzhk6xCcA1TN4PnlfT/Sq8Bs6GOYk1b+OXRF
z5IxcYCnTqLDt57YK9uPUxcKD6EtDfrxXDVElEueQ10+fyF7BPsLP1O+aLDeN6Po5B5FfqgXxhwQ
0+eoWNt51UUl+X+DNy2fTe48Mx3rDXtz7YI5Gk284Si2sWtL4mdyKD7qQDcuyjmdhpll4g5GGrp0
W+d+ipggVrXtfACsVQHJo0keA9vv1za069s6pywygcF20HKZ3+g9vClibyNezahvd1ZGQRWrwbhi
10fRlsUWRvQqh+sTU3BWZ/S6Z7Y46oWyDrXOIDa2dRIhSKQr26FqDrwdrwfDq3wY4s56UkYKK0/F
komCMjQSg3qWLnU+udseY8YyzprxGV31Cu4jH6ue+XTe9n646hIIXUuS//rFKEPY2Y1SK8hXQ7VQ
tue0iyCU3pXHUziBvF21+0TNTEMli/ww5ElyH0ICfW7YenJmUt0l88fwLrcntfHmDxucaLJFUOH0
ZTMwu9SCrq9BcQ3d2mlhAELdqu6CICeIgxSUbFu42JCb6plx6cMMrYzqsY5q44shvepLUYaPQe7q
J0tImP5ToWs7nH2S8IOvQyXs9COuWnlHeZwqVgFqrXvRDpF1U0TVqwtUFDVqAqFLRkfHfNLrPPbj
KbSYrWaBc5VmY/aUAH97IB8ZUBTiG+SqW0NsOQpRYF+3/UeHjWgphRUeVR5KGKNhsUnqhJtwoHuY
EV9jjwuOHux1mGaLVRDZ/dvEro8dv0blX10Oc0rMS1HKGNvd1iGtWXo1gXrtSIqslacZa2gsPpVK
VryPpik52RHdHjkB3MuMgQ8jTui5zDveMq+cKMmzAsD0BsPZhQlqfq0zGnxKWSpgWAEOQ853J+q3
ymmVtTLYNjPRqpj3SebEdVUT2VgYlR4eAkr6wMoISqBjv9wxgIAHw7Gs5Pw5b2QNuz7ZJpvruNDt
eQUL1/5Y9cjmKk7y6kvZADy+MtJEmaQv8ANdVAZPAVJfKvKY0jkKKzySyPShjYXeXxu+lsANKxEB
gVKPT00xyOGeCE7C81VrOPA21xgNTJg6bUtZIfRBsx76Ix9J7XkbcMqRszRBILbp4v8A7VERSYbh
cgoHatvdiqF5Pjz+IP/8iT762enDVJ2UON2ZLrsy1J1/c/pUQ0801ugvQ03ZK83HSWKIjm8k32uo
tEH4InJzzrrg7rI3GoFVkMFrz0Uqbac1QLI1b3XrT8kqxSz413/czy4rjjbz3waUxECDJPP72VKX
M22iiVv0l1LWl65krxjs4u5vGVu/v4hhWcwAoUbp7ucPwE6agUNv11/GQl/M/3a0bFO45eb8Xv4r
Sf5KkjTPfuz/PPDYvfavcfyTJvn9R/6pSdoWMwkuTvwEECtglPxLk3T034SFSmkZmDvn6/ePGYcQ
qJWQMH0bDgIEMc//Q5U0GH/g+ma1gFmOduT/PbzPzwMGQGM8bGhanw1nDFMgRfw84yCsnlE7FIo7
+qdYtuWUK7oSDNTT2W0yd5iQYI/irH6XbiruoyjVboVfjdvCwoECN5ZnWaYGsN/UGPYcwo1l42vI
YwMpZUVjABF6LRTwDbsyvk7qQXJkZkQPiHBINy2mzLU0Ev8kNJ3knc8ENU7ScVuKMb2dEnpYmQmS
kja09utMJqMf0qLtTxtoxBuKLM5I3DX9qx/K8dWlpI5KFfa4xjIK54ByndbTxs10UhajJt84CCWv
TdiPyCe4OYnYjs9jPdUAEkLQzeY4NV+7OjQWQpLiDbmzb8LIuSHZEhNyz5R4aClpT38x4/lUFHb+
CsgKgCJFhSZi73EZ/DhmyicL8TFQzt1Um/7ephFoTX6QR4FfgvwmOVk17M9F7l+DRRenogcxv5CO
R4FWnOrddoqSce26drn3p7a7mCjVvBQkoz44ImtPRWUrWGzaQOVBkly0dkPQ3Yua7DHLoCBTDSAJ
M5rllefVD6Sz7R3tASc37NFWIkGtjv+RVE719tdr41y09sNsjTcN4WO+gHnsYZGndu3nNy2xqYWB
Du6ZE0rwbMzffliWbCsEdhTG9kiwiVnv86Rv1lZUALLONZI5ykymi6Ed9DeZGnwMvt0PVyF84UNP
wcFdMPK/KlOIr8DojGOoif4qgt90MsNquLa94BE7nNj6kM4f04K6R4dw1y5mmLeNtFpjQj/XWJTQ
4CedblbmUXp31Cfzo3DaU18LgxheYO9GD0cfBiFzFQ9juh5sqqx0pMiNHT9n0k8OtMH07xD1wEE2
kJxljbngbK+pG/yXAdSXpezaTRP3wy03ZXrpdlAPMpL/u9Rknh8nNVDO2sFJlUz20eO8twSgN7Sr
OFYVRQqJvwWXKZYixhvnFmRTIek5yC9FnFzkkVmdRi8TNKMW8quXVRxEChKSdFXZ5IhnrxgVr0rt
/EHGx4wy1YtgjsJ6hdFdEOHizQmzxVdaRVMCiTNKQOZbobjVoGxcqcbgAxUA7uLJm3a9Pd+b9MmB
COvVkxWp6s0P0/BkWbW/1MNh+NUj7+c1i4cqGz0HedicIWeCwp+frx0GAUGAM0O7jRodt4jfFlvN
UNnjOPQeZZL02BKd4dqpy+mdPiGcagwa4eL3Y/TBqXy4lI4IDlWjV09uRYsAWW19W3nyCyyOdFW1
Tv6QV/yWtCNbSg0EVOqM7/5UBgFz0iZk42CHwxowgrjldAyw38WgycaUwz4wD5DUhjZuOssW84Ja
cpizZWOsqQAT61hvaVhOhm64rNNyujlftjKh9I2Wm/GirmzjZMgyIE3m6V88LVdPPnntJwBT1SVN
dES7chlB0mIGEL8BDd6iUmuE9QcfBrrZts7WIi7rrlMv4pig4yv6hXlc/Gzenz/+eWbhzkkLYZNm
mm/tH+ZYCLtK42Qd3IpaOtqqgS5G4Uel3SWTzzswEqEvnUppyFoxGo4NSEZiWqJDeesRWRsXJvcg
05usCg4eMIvXtHOYHvhVL8OlZNjzXFuk9JBDM4MK1Vb7vpd5H/5v+LX8k03jn70B5swz9EzwXBb2
p+unIOKABhu6t7humjVx+OGSVlb0Kji49VzsNtGlRRDcFnMxeBHZGqUAhXwljGgfjd4JvnHvmXOk
vXw1B9c4Of2QHiIhMfYwSQvuwTYQCI2oI/C++07+499+fh7/4EmYP3zLZU7KtA1mCr6ETx9+TvnG
ZPX2bdnaNigiTIHfuJoD2taBQjwa+MIukkENV5nbFdsG6Amo26JwaAmIu0OZexRW+aLeZ3Zf70u3
0u4bJ/e3VOg28bKu2uJq8lR8cgXvv0cTxWKrevWt4zHBVxRbbyro270+TcD904pAbWv1abF1O2xG
lIVMzDA5OTWUAT4JIB87zdO8g+LgtQ5AmW0yZYYbyan5uXaKaVv3XbCPx4hZWeEWyC1CDF+NENPY
gn4PrVsqKYz1ZEp/Y5bpm5HDt4jMokIlkHKfWV3wXLjc6uwJCAzPt17gayEiAfCWNcEO/jxS+MxR
anELUHtsV3lidhQgVbimpJo2MNyDZ6687quV5fMKMn80iRscKFmjdhPbBBgq7Ni3Mq51hP08vdcl
qvjCqpz4i5sn72aZg9CgBWaf9kIt61rAq7EycYqGXsEcyoZL+id5lvz1A5RNIt/0T1eCb7LjxxLC
mj1vBz9tG1ir85acaHUb0QDgLkedG2xxXpspG6q2eB+jpQvDgjkfZJ0NWzH56ohmupnQC9J1mKt9
pFUuaOEkO1Rxpnoc43pM3FtL4ln4KDYNTSrcroarv429nj2w/Ddvore6r23sWtoKh3LuUubjIS7T
UpVddBSErtEDRq4Di5DHIjOzgJowAxQPs+m83XmhNtC/Id09dS4PME05vYOgGRlj4Jb3K0e7YTQy
9ivV6u0H4jBLZFpE9KxU5W4wJrW1Zq8c7UrzlnP+XhEemic1pDtbw3G8GshpwF0ZnwxJ/QBl80gz
+hhR2JhwQ5Co5mJNhILM7XnuuwkKZ1V3XXoojUTfTX42ajjvp2o7VSIqL5DlLH8p2zR65DkQPyot
mcvcJBrOoqTW9AmYu0/yNq2ccEc4V/9/7J1Zb9vItoX/SnDfaXAeHu4BrmR5jO3EztDJC6G21SLF
SRwl8tffr0gqFhXHnRwGOMJB86Eb3bKKZKlq1x7WXms7jcC6IeLoQW4k0aN3L1Ub4eDQXX8l21uO
qjwyT7NGNO9rXlnMiq0XybxugMkLk5yJyjeoqaHYV7INak9tXNGWo+tQzirxh+WyyEnxo600aZSV
9qenuX6NuKa5Dq6lohDuj1O/p409kWbNMpX/jGh6QPg5RVa7xrILBZNGIfm/Ca5qFoJN4ZV2Fkmv
PbiaACL9ocBORMOeDBKTFK9bThSYDu8zfMuLQnQbA0Rumr9UM7Av7bKR4KSA7J5mMZeckpw1m5le
VQ4Vb9OndpmRW6Z2ySqEBkqjlrvMTgsE0KQJonXyqa814V+WtbmnEEXvCni/xJ1sAgtZi00Q3Vqo
FbxTqTSS7A/h8s+dunn/T2T7M7y1Cj2ZmIwfR7bX8zgfKjD3X+kjW0c/odOUuALySV13aB18jmxl
FZpr+pJpnLbJTohTaoe3wZvYofWA/yECo4hQ1qRvFQv3K2g9HdzfwCCiuEBEwRI2EZoB+3cA10vd
wg5Xy615HalrG0F001KQv1KQZwCTnkvrIgVq0rhAAaBhStzbBCUyY5oZdMyidVaAKnoIKYdK0VWe
m2S2ZhLnhu5e2G6pmNNSo1VnYqVhs74NPIBE1hnkJpG+uS1kAa3ncLDg+9dzidz/Gervkfm20tP8
MVhu3he6b7lTBTzylB4cC8YDSjVnebpE66GBztlu2JJIe/hrwVURy+lE4Caac1WBt+dtvFVCY7qi
r4OqfJb7IN9Tu0zfETUGDxkNi1/ysNEoouZpKUSvqtX62owzz51BIPeHRM93wi1qs5ltOdAFZ6sl
E9vUiNoKOdi7II3NLym7kARasvlK+nr1rjEg/UvKmhiTdC/StJVKhTrRPCTZikRanwdNFF6uqON+
Rcsv/UPNNTWZICfiPCaO/RhuRU8MQHtwElF9yT/cm6o0tTvf8OULB7s4K1Ya7GxCymJSaQ6c96vY
Y58jXYbUBYzYE31N7nhC30oGx5hr1hO0v6oLHOHoHTw0OcDeyL1Us3pz3jRW/R4y/xpA+irFaPpg
geGLkPwLTjf/ifVgvF8FYFxmVaJKd5Ty7HMhwEjtb6u83cA298FrLHrQ7RIPs9GtKeJW2EOdvtAb
YJLqZ4n4X5+Y0LTdJfpSQC5DMKGWhRaEryDcRpa5OvVLHY5DFdwi/geVGTBMZ9qGJEZIMwTVKTdt
viLstz5DQFA6Jx3dXEJO3jzKkWpdetTIHhq5dm9LKU3eJtKyRGmgkYAslY2JsMPZttILzC56Rt2/
i0DVK+9GMkTGferLkYX0W1o5epxd0TCy3MRXkZtvwuSUZop05ZypmXRPOps8O9U6DvxmhvujyI//
WNSfsagC1Ueo+mOL+pCUhffmdB4kxXw/Y9h/cWdX0ajHaoo2fsEE3iISd1zgstAIoGEJekId+gSR
7d3ZVeME/giVfJ5GbkWzyOP1ZlaHKQJ6YHLQmkPXBSnIXzGzZBkPzSxDQN6ncBo4dE4rB+GfQ9Na
4bqpdA3xZPWesyGCZSozLqOwCWbg8yD8bCr1npYGoCSJ3syUqnYuOQY85I6TzYc6MCO65lXaJ9PC
vgh8uTIm7golqxgfDBGf2JsFxfJ+udYu4F4iXaJn0Mzp8adNGbwT9EgTtNZtWjxEst9cwcuS687E
oZw5QR4P/S9ke9WHIgadvF6rQjd4Gd3qmyqH4hrd05yWsVOqsuGTLJUTXKKPq2T1l9YeD25JtxnQ
yVViGufpxtAxk4A97kErl1cI/6XXteVVBbIdUXBeaQ3SYWjovK03pnUZLbfRbLVqiis9cx1OgFKj
XJM0MLAxnbeZKcFHs9Fr97TabsGf0BhHdwRue33RyJlMAgkBp7WRGm/lzL4IQzxbWbFIQTnKTRSg
aOJuo9MVYT6gtkKdBZ5oLEpBgBUyHUUsGJBosZJN0mWwoZwPTU+gZVN+rOi6oYf5zDIk64oCoUnP
JeqWpW6tz7bqcoumZkxpBSSKoCcOm4fUoEuDXMknp1bUj5vIMPHVrepLrCRISOZgo+RanJ/rrFbl
WZh4PskPYIqKfF3FLp08caYFQQkYLLGlR1iF6HkjfVoi2laibZmBL0/yZiobCe20INaEUCc9lPep
Ftu3ztJBc3pjp9qWFpsq3ZxHKq32qmVsz4E6xjHYK92620YxAFeobtAa9aXIKyZ2k2vVBNlGA0Gt
TJ4S1dPhRVpKsH5WTkTSpdSDW6n2tbV0KsFKsWzOkzXp3+wmWcFI4cHVlBATGBMGytHcgxcubuIr
y40LM/uSQPyHE0y0EUycPPGlFdD2AlmKzXsXgrDzOEXOc3mnWU1Vbc4c18N/xnyvs+LeyWu1Nj9u
5DKXHySoi+zljIOK9PpUXUblVj2jxGVvSWbDsmrI25uNH9fr9CzN3bhEpl1WPiOkuX1PWNdEtOBC
FipAgqhnIwaxpR0doqmpVOa0sft1JX3yAsMPTtXGQkeY6H57EyjkFSjJpk8GIUFzmqSqe48qEjlH
LEm6Rnh+7X1yjRiXWwKMpEzBb8p3TbUxq7MQ6VAXOiwPtXWQl/EVxNbeRRKH0sxvLG053dhl/ZC5
HgBmjTDnc4BMbTAxUthTU09XT8NltLxLvTq9M1PE54sKTJzpIbZKzhVQHl2wxIxEKoD9w+bCp+v0
nUnBGWq0FBY9iyY3ZOGpSwutRwXS3dXKvfQIN0hpWDBsGzn9wJNlgQyrIsGQS68i8nxF1QRIuBpa
UVN19dSZJ+fFfVlZ8TsyfctzEn9UFSrjjp7Y5Qc3XG+v1+FahZWW3NaXfw7EnzoQTSh1XjsQP0Mm
jDTG4CzsvrOrnokDz4ApxGwLqVTEnmMMAfaHPX/vwHs+CmWFmMKmQVaHYkjjUN6dhTIhB86lSKPJ
xAqK+itn4ZCYZVd71VDsUanAcloPc3FEEgA4yRTeltHTMg/JpPxNlUQcpfspHlFBppXh2w1ExLOX
ac22Whitt9zAXtFlCby/dOZUkH0HRsenvYl/ISlqMJPDe1GKgYqFJgnKgd9zr9dKTpBBT/3Nyggh
6qCPXcI3wOt2bDVIja/5aru0H5G0sQtIoNdqLjU0gBmQmV7R9pAuoycyNMICLkvdA3p77mZLwVwW
lwvflmGae1tmBEf6tUxb6mWYOys3QzpHrq9NGP3dD3VanMEGY1zlCJG9W6UJsUO9ctO4mKox9UNb
yxDlVCtT2uSTDREDenYhGK7gIe1aA6CRhKjilIdAiI9cuppP4lK9ymB2+FgjCHEd0n+BN4DyzuYs
6johLA6eUwOhsVsbvM7mq5QgB4RRJSbhjM2mFNzRC0Jla91crwrHkx42sBrTXqVVSzKN6yka8cXW
PbdgucjP/7usRo8dEE06s9YavC8XWX2/yGnKzXeBvPi0bW77kPx7f/T6QH130N8U8QXvDMmJgWPe
PlT7xK+NEc5RACqfaD3SoWLTKODT/S23FymNMIkB67YfS0LZy4R4VoXRaP93fm0CXn+3biZf/5vB
sz8mZVyIXwC2zwEVHdbp597+YITnt9ecE+BshkVg8eLbO3RRIUZChEHiQlz/qTmYP3Gg7JpQ988V
BSP6c5NwMMTeJIDkoLNU4Iy6l+Rc2V8CEPlhqwEhkY1vL84D1tzePvnRTnj9R/7lhXDwBot2d4ru
W0JAjpBR+6DtvqXkAF1W95LM6v4kKLKQnyILZ7JBjuvtOfW7Z+qqbd925i9YAU09od8YUIrwa/Zf
W/A76hgIVab5uL2O7e0peJpjdwCpBJKssETynu11YAQt44SSqgwfYG8GutV2TDsAh3HkDqAtFLJM
xeA0eHEHWKwR8s/4lke3/xVAE/h9owyAap9Qb0Q0DAe6vQ4MgC3STTCVqsLDFtfx2QEI9kZOgqaf
ADuBMHC30A/MgehExk7QPAyxoLi6nXdEGwFCSXn0TpBPiHzEud9vd5ysgVF0TriNqYHPPVKjaFMt
GrsURAM50AWaxL+95P4kYBPJ4ZrQSOA8iOvorAL4gbHesUZ3PalqmDrAMPbrfX8SFAXvmOgdPSoY
RsXVzvox7QfOrZ/0kg/cqz0HUSUEwPLrDq7GC7Nga2T2caF1oOHtdXymES20sQcEsQLLwKHm8PyW
+2sBVwm7acHD3DsRR7chsOvm2B0hvASWu2aRumovpnV/FoiYkJuz0CDovYijc5U42myOtVHOAg4j
AHa4eOCA3a34wSxoxJU0SaDG3H1+fLPAjqYCNmoWsI6sBRaV0QcHB4GjbbAjKBWDZ+1m4eh2BNxH
vTc7InYyCJGYAPoMurc82BHYBahbVHFMdJ8fn8/k4NSOXQtkoIXOJCQt3UF44DM5CkkGxcYECap6
rqPLpAA6HR9IagSSQPzJR3RveTALiiqfkEYhmSBYdI4rjUDNWx+7CrCLLHMh39D/ygcWwSJ8IPev
QdJ6dK+vkOQcuwnsE81ER1hG86S9DkyByKRhDmlv6jfJ0RlEFY92bCpNJ58IlBs53v4tDxYBxwIt
Mg6eUv/50R2OKu782LWgC7MPwx+wlW9mf+Ai6CcQ72okLro7HVHMoKJdMvb1RUYR/RboAXpDeGAJ
bQInuvOEOkE3Pce3CDRTGR1EkzQGvWmhQdNNw0E+xSKTQHWSjpPemz7CWaA+MtYsOidoFQi47Mun
ApArFgPTYPUu1NF5SEjBqKPPRhkPSLDkdeu9zZ3tGwSoQWlaFcjj51k6Mg9Bg7t05FrQya1peAeU
5Lt5ODgiLf0EcnKAeDs38vj8RMKZ0dZRP0E1BEcAHEd7sbj21wKSaScKWA4BIz86R4kes7GRI6sA
gSxRdX5e6/vvT7KdT+gt15/rske2Fwj5xloEjdMBzCt5hN4k8Fvvz4JDfN0BevCV2uvY1gKtquNr
DgqJZHTgbKo47XU4C5weFOawi89ZhiNbC6J2OtYuEhmp9P+Cju6uA6eZyMkQTeWi+NJe3eI7Iq9R
oL3H2gWN+FkGbEEY0q2FA7toizOUNDN1qG4Wjs5f0mC16B5qREaJFU8QTe2lNwwHZ2RbhbPIpQgi
8CPLIsAGMnoviLyiYAAhln55L9gnwo2CsKz//Pj2wgvSmr+MzMITgh2d+ezPyO8jKKSEKVnTHdZe
xzcLhi26ezHW//5eAJ+mKwoQLYhE2usgguoyaiKZ3edcfsFf+gnj+Q3wN4UL5qmF+vmL/CVE4I/+
YPfy33/eg9wEgEkg2QZ/KJB/3b07lJP4738NCnQt/mrvwx0eq71P//X+Bb+/9eBeu7fa/c8Lf5HN
s0evbj+o+8fsmMr/L5z/OY/mAwRaC4V4fpL//Z/Bc+79/n8zcB4cjCvEJ0ePm/lNEg8HbnES4wcO
vm8kbcF4Y0eezkP/rySLhwoTXTV79NhJmGTzpwHZfIeeGz9yHC8eC/+xLHa/WgvNa4FJYwc/XYTw
UWWL/ZE7jMPokX9O2OPHbQHfrNtrq/uMWfefhquwwyyNff7zRZIthysFkyhK/mNH/jED2MjJ+KHa
wdhxw9CPEz/fvbpYfj0caOxcXMZP/vzAinSQgtEjJ5vhsuiq02OH/XGT+8hJvubJysegHkxyV0se
+8xvkxKin8Np7mqTY8e+mfvxwHqQe/8dx8vNHD2sefy0Px0ktUV5a/wj5/n8EZGvRVEM1nRfqBs9
vv/o+cv5EFHflX/GD81ZAMnkYGX3RZXxY+cwAUAwu/Z3c9x6UF3N4neMnpTZ4dCiGjR66CQuDhZ3
38AxduTbxZ/Z/MB76rE+44eu5sNzi+SfKAiMH3jz5mIerXO6aAcbk/EFqd7vGP9qkeWLgaUCLC4y
2L9j8JvF1n8c+FEMLhLDv2PwL0kW7EZqV3cHch89NAx/3pvpPEs4KYebsyt2/Z4bfM8EABGKoIkd
O/yd5w9nvEtFjx42CNFfGkY1apffHT10tlgeNi21MJOxA79bxDHsUdX8IEzoK1Vjh7/3kqfFm8v8
u7OtS3WOHf6hZYx4aSH2WcTfc4PvF+KOkmKkF/SB2V/k+WJguXow2dhH/7DYDumJ+iT72HE/FnNv
twWFTekzlWOH/bTIIk62wcjAB36DIfzkE9kcLO8+vTj2oT/POXfiZTHcmgD6Rb5q9OCLvHjz4sOD
dyCtP3p8P39M4twfeG6IKdq/wcK+0rn+6pZ5KdP0rUXw+/zTrvXvpa8Nk2viLx7DxTz71/8DAAD/
/w==</cx:binary>
              </cx:geoCache>
            </cx:geography>
          </cx:layoutPr>
          <cx:valueColors>
            <cx:minColor>
              <a:schemeClr val="accent1">
                <a:lumMod val="40000"/>
                <a:lumOff val="60000"/>
              </a:schemeClr>
            </cx:minColor>
          </cx:valueColors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_xlchart.v1.7</cx:f>
      </cx:strDim>
      <cx:numDim type="size">
        <cx:f>_xlchart.v1.9</cx:f>
      </cx:numDim>
    </cx:data>
  </cx:chartData>
  <cx:chart>
    <cx:plotArea>
      <cx:plotAreaRegion>
        <cx:series layoutId="treemap" uniqueId="{00000000-C279-4AEF-870C-52BE3D5D5D39}">
          <cx:tx>
            <cx:txData>
              <cx:f>_xlchart.v1.8</cx:f>
              <cx:v>Sum of Sales</cx:v>
            </cx:txData>
          </cx:tx>
          <cx:dataLabels pos="ctr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plotArea>
      <cx:plotAreaRegion>
        <cx:series layoutId="funnel" uniqueId="{00000000-7240-4CE0-A325-D50429D5DD9B}">
          <cx:tx>
            <cx:txData>
              <cx:f>_xlchart.v2.2</cx:f>
              <cx:v>Sum of Sales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6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1000" b="1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cap="all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653913</xdr:colOff>
      <xdr:row>2</xdr:row>
      <xdr:rowOff>99986</xdr:rowOff>
    </xdr:from>
    <xdr:to>
      <xdr:col>21</xdr:col>
      <xdr:colOff>384201</xdr:colOff>
      <xdr:row>18</xdr:row>
      <xdr:rowOff>171348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D6881A4B-0399-4E1D-9D13-2C41159BF0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382737" y="473515"/>
              <a:ext cx="5719209" cy="305959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490866</xdr:colOff>
      <xdr:row>13</xdr:row>
      <xdr:rowOff>135265</xdr:rowOff>
    </xdr:from>
    <xdr:to>
      <xdr:col>30</xdr:col>
      <xdr:colOff>503969</xdr:colOff>
      <xdr:row>28</xdr:row>
      <xdr:rowOff>157036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820CDF85-EA2A-4FD7-849B-0AB17D9019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789766" y="2529215"/>
              <a:ext cx="3353203" cy="27840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22</xdr:col>
      <xdr:colOff>0</xdr:colOff>
      <xdr:row>16</xdr:row>
      <xdr:rowOff>150385</xdr:rowOff>
    </xdr:from>
    <xdr:to>
      <xdr:col>26</xdr:col>
      <xdr:colOff>90714</xdr:colOff>
      <xdr:row>29</xdr:row>
      <xdr:rowOff>60476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9B62909F-A1C9-4A91-ADE6-F4EF37ABC2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071588" y="3096785"/>
              <a:ext cx="3318026" cy="23040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3868</xdr:colOff>
      <xdr:row>54</xdr:row>
      <xdr:rowOff>39250</xdr:rowOff>
    </xdr:from>
    <xdr:to>
      <xdr:col>23</xdr:col>
      <xdr:colOff>164219</xdr:colOff>
      <xdr:row>69</xdr:row>
      <xdr:rowOff>66358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8B0020B-4C0D-4A8F-B364-8D0D9D2D6A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cuments\Data%20Dashboard%20(Repaired).xlsx" TargetMode="External"/><Relationship Id="rId1" Type="http://schemas.openxmlformats.org/officeDocument/2006/relationships/externalLinkPath" Target="Data%20Dashboard%20(Repai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5"/>
      <sheetName val="Sheet2"/>
      <sheetName val="Sheet7"/>
      <sheetName val="Sheet3"/>
      <sheetName val="Sheet6"/>
      <sheetName val="Sheet4"/>
      <sheetName val="Sheet8"/>
      <sheetName val="Sheet10"/>
      <sheetName val="Sheet9"/>
    </sheetNames>
    <sheetDataSet>
      <sheetData sheetId="0"/>
      <sheetData sheetId="1"/>
      <sheetData sheetId="2"/>
      <sheetData sheetId="3"/>
      <sheetData sheetId="4"/>
      <sheetData sheetId="5">
        <row r="36">
          <cell r="AB36" t="str">
            <v>2018</v>
          </cell>
          <cell r="AC36" t="str">
            <v>2019</v>
          </cell>
          <cell r="AD36" t="str">
            <v>2020</v>
          </cell>
          <cell r="AE36" t="str">
            <v>2021</v>
          </cell>
          <cell r="AH36" t="str">
            <v>2018</v>
          </cell>
          <cell r="AI36" t="str">
            <v>2019</v>
          </cell>
          <cell r="AJ36" t="str">
            <v>2020</v>
          </cell>
          <cell r="AK36" t="str">
            <v>2021</v>
          </cell>
        </row>
        <row r="37">
          <cell r="AA37" t="str">
            <v>Consumer</v>
          </cell>
          <cell r="AB37">
            <v>21353.513999999999</v>
          </cell>
          <cell r="AC37">
            <v>4739.7460000000001</v>
          </cell>
          <cell r="AD37">
            <v>9391.7240000000002</v>
          </cell>
          <cell r="AE37">
            <v>4050.2260000000001</v>
          </cell>
          <cell r="AG37" t="str">
            <v>Home Office</v>
          </cell>
          <cell r="AH37">
            <v>5629.5960000000005</v>
          </cell>
          <cell r="AI37">
            <v>782.88800000000003</v>
          </cell>
          <cell r="AJ37">
            <v>2270.6170000000002</v>
          </cell>
          <cell r="AK37">
            <v>4077.8559999999998</v>
          </cell>
        </row>
        <row r="38">
          <cell r="AA38" t="str">
            <v>Corporate</v>
          </cell>
          <cell r="AB38">
            <v>7068.92</v>
          </cell>
          <cell r="AC38">
            <v>2533.5100000000002</v>
          </cell>
          <cell r="AD38">
            <v>6338.8459999999995</v>
          </cell>
          <cell r="AE38">
            <v>9544.6739999999991</v>
          </cell>
          <cell r="AG38" t="str">
            <v>Corporate</v>
          </cell>
          <cell r="AH38">
            <v>7068.92</v>
          </cell>
          <cell r="AI38">
            <v>2533.5100000000002</v>
          </cell>
          <cell r="AJ38">
            <v>6338.8459999999995</v>
          </cell>
          <cell r="AK38">
            <v>9544.6739999999991</v>
          </cell>
        </row>
        <row r="39">
          <cell r="AA39" t="str">
            <v>Home Office</v>
          </cell>
          <cell r="AB39">
            <v>5629.5960000000005</v>
          </cell>
          <cell r="AC39">
            <v>782.88800000000003</v>
          </cell>
          <cell r="AD39">
            <v>2270.6170000000002</v>
          </cell>
          <cell r="AE39">
            <v>4077.8559999999998</v>
          </cell>
          <cell r="AG39" t="str">
            <v>Consumer</v>
          </cell>
          <cell r="AH39">
            <v>21353.513999999999</v>
          </cell>
          <cell r="AI39">
            <v>4739.7460000000001</v>
          </cell>
          <cell r="AJ39">
            <v>9391.7240000000002</v>
          </cell>
          <cell r="AK39">
            <v>4050.2260000000001</v>
          </cell>
        </row>
      </sheetData>
      <sheetData sheetId="6"/>
      <sheetData sheetId="7"/>
      <sheetData sheetId="8">
        <row r="1">
          <cell r="AN1" t="str">
            <v>Sum of Sales</v>
          </cell>
        </row>
        <row r="2">
          <cell r="AM2" t="str">
            <v>New York City</v>
          </cell>
          <cell r="AN2">
            <v>7630.8919999999989</v>
          </cell>
        </row>
        <row r="3">
          <cell r="U3" t="str">
            <v>Row Labels</v>
          </cell>
          <cell r="V3" t="str">
            <v>Sum of Revenue</v>
          </cell>
          <cell r="AM3" t="str">
            <v>Atlanta</v>
          </cell>
          <cell r="AN3">
            <v>6425.16</v>
          </cell>
        </row>
        <row r="4">
          <cell r="U4" t="str">
            <v>Alabama</v>
          </cell>
          <cell r="V4">
            <v>372.13</v>
          </cell>
          <cell r="AM4" t="str">
            <v>San Francisco</v>
          </cell>
          <cell r="AN4">
            <v>2283.6360000000004</v>
          </cell>
        </row>
        <row r="5">
          <cell r="U5" t="str">
            <v>Arizona</v>
          </cell>
          <cell r="V5">
            <v>9808.3171000000002</v>
          </cell>
          <cell r="AM5" t="str">
            <v>Philadelphia</v>
          </cell>
          <cell r="AN5">
            <v>1936.45</v>
          </cell>
        </row>
        <row r="6">
          <cell r="U6" t="str">
            <v>Arkansas</v>
          </cell>
          <cell r="V6">
            <v>210.84</v>
          </cell>
          <cell r="AM6" t="str">
            <v>Lakeville</v>
          </cell>
          <cell r="AN6">
            <v>1743.77</v>
          </cell>
        </row>
        <row r="7">
          <cell r="U7" t="str">
            <v>California</v>
          </cell>
          <cell r="V7">
            <v>30137.607999999993</v>
          </cell>
          <cell r="AM7" t="str">
            <v>Arlington</v>
          </cell>
          <cell r="AN7">
            <v>1731.126</v>
          </cell>
        </row>
        <row r="8">
          <cell r="U8" t="str">
            <v>Colorado</v>
          </cell>
          <cell r="V8">
            <v>1268.9591</v>
          </cell>
          <cell r="AM8" t="str">
            <v>Columbus</v>
          </cell>
          <cell r="AN8">
            <v>1598.0160000000001</v>
          </cell>
        </row>
        <row r="9">
          <cell r="U9" t="str">
            <v>Connecticut</v>
          </cell>
          <cell r="V9">
            <v>855.37000000000012</v>
          </cell>
          <cell r="AG9" t="str">
            <v>Sum of Sales</v>
          </cell>
          <cell r="AM9" t="str">
            <v>Seattle</v>
          </cell>
          <cell r="AN9">
            <v>1442.6880000000001</v>
          </cell>
        </row>
        <row r="10">
          <cell r="U10" t="str">
            <v>Delaware</v>
          </cell>
          <cell r="V10">
            <v>2517.9</v>
          </cell>
          <cell r="AF10" t="str">
            <v>Christopher Martinez</v>
          </cell>
          <cell r="AG10">
            <v>6412.7699999999995</v>
          </cell>
          <cell r="AM10" t="str">
            <v>Tamarac</v>
          </cell>
          <cell r="AN10">
            <v>1410.0660000000003</v>
          </cell>
        </row>
        <row r="11">
          <cell r="U11" t="str">
            <v>Florida</v>
          </cell>
          <cell r="V11">
            <v>6379.0604000000003</v>
          </cell>
          <cell r="AF11" t="str">
            <v>Adam Bellavance</v>
          </cell>
          <cell r="AG11">
            <v>4431.8960000000006</v>
          </cell>
          <cell r="AM11" t="str">
            <v>Anaheim</v>
          </cell>
          <cell r="AN11">
            <v>1295.78</v>
          </cell>
        </row>
        <row r="12">
          <cell r="U12" t="str">
            <v>Georgia</v>
          </cell>
          <cell r="V12">
            <v>37204.019999999997</v>
          </cell>
          <cell r="AF12" t="str">
            <v>Jonathan Doherty</v>
          </cell>
          <cell r="AG12">
            <v>1744.8880000000001</v>
          </cell>
        </row>
        <row r="13">
          <cell r="U13" t="str">
            <v>Illinois</v>
          </cell>
          <cell r="V13">
            <v>6621.0992000000006</v>
          </cell>
          <cell r="AF13" t="str">
            <v>Dianna Wilson</v>
          </cell>
          <cell r="AG13">
            <v>1743.77</v>
          </cell>
        </row>
        <row r="14">
          <cell r="U14" t="str">
            <v>Indiana</v>
          </cell>
          <cell r="V14">
            <v>1477.82</v>
          </cell>
          <cell r="AF14" t="str">
            <v>Cassandra Brandow</v>
          </cell>
          <cell r="AG14">
            <v>1739.692</v>
          </cell>
        </row>
        <row r="15">
          <cell r="U15" t="str">
            <v>Iowa</v>
          </cell>
          <cell r="V15">
            <v>601.98000000000013</v>
          </cell>
        </row>
        <row r="16">
          <cell r="U16" t="str">
            <v>Kentucky</v>
          </cell>
          <cell r="V16">
            <v>1381.61</v>
          </cell>
        </row>
        <row r="17">
          <cell r="U17" t="str">
            <v>Louisiana</v>
          </cell>
          <cell r="V17">
            <v>3627.9400000000005</v>
          </cell>
        </row>
        <row r="18">
          <cell r="U18" t="str">
            <v>Massachusetts</v>
          </cell>
          <cell r="V18">
            <v>3878.3200000000006</v>
          </cell>
        </row>
        <row r="19">
          <cell r="G19" t="str">
            <v>Sum of Sales</v>
          </cell>
          <cell r="U19" t="str">
            <v>Michigan</v>
          </cell>
          <cell r="V19">
            <v>13335.695</v>
          </cell>
        </row>
        <row r="20">
          <cell r="F20" t="str">
            <v>Jan</v>
          </cell>
          <cell r="G20">
            <v>2704.0940000000005</v>
          </cell>
          <cell r="U20" t="str">
            <v>Minnesota</v>
          </cell>
          <cell r="V20">
            <v>9132.9300000000021</v>
          </cell>
        </row>
        <row r="21">
          <cell r="F21" t="str">
            <v>Feb</v>
          </cell>
          <cell r="G21">
            <v>246.57999999999998</v>
          </cell>
          <cell r="U21" t="str">
            <v>Mississippi</v>
          </cell>
          <cell r="V21">
            <v>87.56</v>
          </cell>
        </row>
        <row r="22">
          <cell r="F22" t="str">
            <v>Mar</v>
          </cell>
          <cell r="G22">
            <v>8527.3510000000024</v>
          </cell>
          <cell r="U22" t="str">
            <v>Missouri</v>
          </cell>
          <cell r="V22">
            <v>2518.29</v>
          </cell>
        </row>
        <row r="23">
          <cell r="F23" t="str">
            <v>Apr</v>
          </cell>
          <cell r="G23">
            <v>2786.0550000000003</v>
          </cell>
          <cell r="U23" t="str">
            <v>Montana</v>
          </cell>
          <cell r="V23">
            <v>3556.33</v>
          </cell>
        </row>
        <row r="24">
          <cell r="F24" t="str">
            <v>May</v>
          </cell>
          <cell r="G24">
            <v>2022.5999999999997</v>
          </cell>
          <cell r="U24" t="str">
            <v>Nebraska</v>
          </cell>
          <cell r="V24">
            <v>558.59999999999991</v>
          </cell>
        </row>
        <row r="25">
          <cell r="F25" t="str">
            <v>Jun</v>
          </cell>
          <cell r="G25">
            <v>7313.7540000000008</v>
          </cell>
          <cell r="U25" t="str">
            <v>Nevada</v>
          </cell>
          <cell r="V25">
            <v>181.9008</v>
          </cell>
        </row>
        <row r="26">
          <cell r="F26" t="str">
            <v>Jul</v>
          </cell>
          <cell r="G26">
            <v>1235.5140000000001</v>
          </cell>
          <cell r="U26" t="str">
            <v>New Jersey</v>
          </cell>
          <cell r="V26">
            <v>11069.11</v>
          </cell>
        </row>
        <row r="27">
          <cell r="F27" t="str">
            <v>Aug</v>
          </cell>
          <cell r="G27">
            <v>3226.8560000000002</v>
          </cell>
          <cell r="U27" t="str">
            <v>New Mexico</v>
          </cell>
          <cell r="V27">
            <v>142</v>
          </cell>
        </row>
        <row r="28">
          <cell r="F28" t="str">
            <v>Sep</v>
          </cell>
          <cell r="G28">
            <v>9606.2179999999989</v>
          </cell>
          <cell r="U28" t="str">
            <v>New York</v>
          </cell>
          <cell r="V28">
            <v>41252.238399999995</v>
          </cell>
        </row>
        <row r="29">
          <cell r="F29" t="str">
            <v>Oct</v>
          </cell>
          <cell r="G29">
            <v>3801.418000000001</v>
          </cell>
          <cell r="U29" t="str">
            <v>North Carolina</v>
          </cell>
          <cell r="V29">
            <v>2706.2768000000005</v>
          </cell>
        </row>
        <row r="30">
          <cell r="F30" t="str">
            <v>Nov</v>
          </cell>
          <cell r="G30">
            <v>4958.0020000000004</v>
          </cell>
          <cell r="U30" t="str">
            <v>Ohio</v>
          </cell>
          <cell r="V30">
            <v>8551.491</v>
          </cell>
        </row>
        <row r="31">
          <cell r="F31" t="str">
            <v>Dec</v>
          </cell>
          <cell r="G31">
            <v>9295.5769999999975</v>
          </cell>
          <cell r="U31" t="str">
            <v>Oklahoma</v>
          </cell>
          <cell r="V31">
            <v>29.24</v>
          </cell>
        </row>
        <row r="32">
          <cell r="U32" t="str">
            <v>Oregon</v>
          </cell>
          <cell r="V32">
            <v>816.12670000000003</v>
          </cell>
        </row>
        <row r="33">
          <cell r="B33" t="str">
            <v>Sum of Sales</v>
          </cell>
          <cell r="U33" t="str">
            <v>Pennsylvania</v>
          </cell>
          <cell r="V33">
            <v>8070.7035999999998</v>
          </cell>
        </row>
        <row r="34">
          <cell r="A34" t="str">
            <v>Premier Automatic Letter Opener</v>
          </cell>
          <cell r="B34">
            <v>961.48000000000013</v>
          </cell>
          <cell r="U34" t="str">
            <v>Rhode Island</v>
          </cell>
          <cell r="V34">
            <v>125.84</v>
          </cell>
        </row>
        <row r="35">
          <cell r="A35" t="str">
            <v>Tennsco Stur-D-Stor Boltless Shelving, 5 Shelves, 24" Deep, Sand</v>
          </cell>
          <cell r="B35">
            <v>1082.48</v>
          </cell>
          <cell r="U35" t="str">
            <v>South Carolina</v>
          </cell>
          <cell r="V35">
            <v>560.06999999999994</v>
          </cell>
        </row>
        <row r="36">
          <cell r="A36" t="str">
            <v>Hunt BOSTON Model 1606 High-Volume Electric Pencil Sharpener, Beige</v>
          </cell>
          <cell r="B36">
            <v>1113.0240000000001</v>
          </cell>
          <cell r="U36" t="str">
            <v>Tennessee</v>
          </cell>
          <cell r="V36">
            <v>105.56540000000001</v>
          </cell>
        </row>
        <row r="37">
          <cell r="A37" t="str">
            <v>Tennsco Single-Tier Lockers</v>
          </cell>
          <cell r="B37">
            <v>1126.02</v>
          </cell>
          <cell r="U37" t="str">
            <v>Texas</v>
          </cell>
          <cell r="V37">
            <v>19436.9912</v>
          </cell>
        </row>
        <row r="38">
          <cell r="A38" t="str">
            <v>Hot File 7-Pocket, Floor Stand</v>
          </cell>
          <cell r="B38">
            <v>1142.2080000000001</v>
          </cell>
          <cell r="U38" t="str">
            <v>Utah</v>
          </cell>
          <cell r="V38">
            <v>274.37920000000003</v>
          </cell>
        </row>
        <row r="39">
          <cell r="A39" t="str">
            <v>Tennsco 16-Compartment Lockers with Coat Rack</v>
          </cell>
          <cell r="B39">
            <v>1295.78</v>
          </cell>
          <cell r="U39" t="str">
            <v>Virginia</v>
          </cell>
          <cell r="V39">
            <v>1202.75</v>
          </cell>
        </row>
        <row r="40">
          <cell r="A40" t="str">
            <v>Fellowes Officeware Wire Shelving</v>
          </cell>
          <cell r="B40">
            <v>1455.2459999999999</v>
          </cell>
          <cell r="U40" t="str">
            <v>Washington</v>
          </cell>
          <cell r="V40">
            <v>5490.9279999999999</v>
          </cell>
        </row>
        <row r="41">
          <cell r="A41" t="str">
            <v>Honeywell Enviracaire Portable HEPA Air Cleaner for 17' x 22' Room</v>
          </cell>
          <cell r="B41">
            <v>1503.25</v>
          </cell>
          <cell r="U41" t="str">
            <v>Wisconsin</v>
          </cell>
          <cell r="V41">
            <v>4943.91</v>
          </cell>
        </row>
        <row r="42">
          <cell r="A42" t="str">
            <v>GBC DocuBind P400 Electric Binding System</v>
          </cell>
          <cell r="B42">
            <v>4355.1680000000006</v>
          </cell>
        </row>
        <row r="43">
          <cell r="A43" t="str">
            <v>Fellowes PB500 Electric Punch Plastic Comb Binding Machine with Manual Bind</v>
          </cell>
          <cell r="B43">
            <v>6354.95</v>
          </cell>
          <cell r="AE43" t="str">
            <v>2018</v>
          </cell>
          <cell r="AF43" t="str">
            <v>2019</v>
          </cell>
          <cell r="AG43" t="str">
            <v>2020</v>
          </cell>
          <cell r="AH43" t="str">
            <v>2021</v>
          </cell>
        </row>
        <row r="44">
          <cell r="AD44" t="str">
            <v>Consumer</v>
          </cell>
          <cell r="AE44">
            <v>3970.9639999999999</v>
          </cell>
          <cell r="AF44">
            <v>12679.677999999998</v>
          </cell>
          <cell r="AG44">
            <v>5689.4229999999998</v>
          </cell>
          <cell r="AH44">
            <v>3883.9170000000008</v>
          </cell>
        </row>
        <row r="45">
          <cell r="AD45" t="str">
            <v>Corporate</v>
          </cell>
          <cell r="AE45">
            <v>3281.9680000000003</v>
          </cell>
          <cell r="AF45">
            <v>2722.3320000000003</v>
          </cell>
          <cell r="AG45">
            <v>5667.7700000000023</v>
          </cell>
          <cell r="AH45">
            <v>5722.2739999999994</v>
          </cell>
        </row>
        <row r="46">
          <cell r="AD46" t="str">
            <v>Home Office</v>
          </cell>
          <cell r="AE46">
            <v>2595.7359999999999</v>
          </cell>
          <cell r="AF46">
            <v>1005.8359999999999</v>
          </cell>
          <cell r="AG46">
            <v>6196.1170000000002</v>
          </cell>
          <cell r="AH46">
            <v>2308.0039999999999</v>
          </cell>
        </row>
        <row r="59">
          <cell r="B59" t="str">
            <v>Sum of Sales</v>
          </cell>
        </row>
        <row r="60">
          <cell r="A60" t="str">
            <v>Storage</v>
          </cell>
          <cell r="B60">
            <v>19567.214</v>
          </cell>
        </row>
        <row r="61">
          <cell r="A61" t="str">
            <v>Binders</v>
          </cell>
          <cell r="B61">
            <v>15747.537</v>
          </cell>
        </row>
        <row r="62">
          <cell r="A62" t="str">
            <v>Appliances</v>
          </cell>
          <cell r="B62">
            <v>6578.6659999999993</v>
          </cell>
        </row>
        <row r="63">
          <cell r="A63" t="str">
            <v>Paper</v>
          </cell>
          <cell r="B63">
            <v>4871.2179999999989</v>
          </cell>
        </row>
        <row r="64">
          <cell r="A64" t="str">
            <v>Art</v>
          </cell>
          <cell r="B64">
            <v>3212.2660000000014</v>
          </cell>
        </row>
        <row r="65">
          <cell r="A65" t="str">
            <v>Supplies</v>
          </cell>
          <cell r="B65">
            <v>2233.3880000000004</v>
          </cell>
        </row>
        <row r="66">
          <cell r="A66" t="str">
            <v>Envelopes</v>
          </cell>
          <cell r="B66">
            <v>1868.5340000000003</v>
          </cell>
        </row>
        <row r="67">
          <cell r="A67" t="str">
            <v>Labels</v>
          </cell>
          <cell r="B67">
            <v>1315.9259999999999</v>
          </cell>
        </row>
        <row r="68">
          <cell r="A68" t="str">
            <v>Fasteners</v>
          </cell>
          <cell r="B68">
            <v>329.27</v>
          </cell>
        </row>
      </sheetData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%20Dashboard%20(Repaired)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231.603304745367" createdVersion="8" refreshedVersion="8" minRefreshableVersion="3" recordCount="477" xr:uid="{9C50B73A-5BF7-438E-8B64-01F98426A353}">
  <cacheSource type="worksheet">
    <worksheetSource ref="A1:V478" sheet="Sheet8" r:id="rId2"/>
  </cacheSource>
  <cacheFields count="25">
    <cacheField name="Row ID" numFmtId="0">
      <sharedItems containsSemiMixedTypes="0" containsString="0" containsNumber="1" containsInteger="1" minValue="3" maxValue="799"/>
    </cacheField>
    <cacheField name="Order ID" numFmtId="0">
      <sharedItems count="280">
        <s v="CA-2020-138688"/>
        <s v="US-2019-108966"/>
        <s v="CA-2018-115812"/>
        <s v="CA-2021-114412"/>
        <s v="CA-2020-161389"/>
        <s v="US-2019-118983"/>
        <s v="CA-2018-105893"/>
        <s v="CA-2018-167164"/>
        <s v="CA-2018-143336"/>
        <s v="CA-2020-137330"/>
        <s v="CA-2020-121755"/>
        <s v="US-2019-150630"/>
        <s v="CA-2021-107727"/>
        <s v="CA-2019-117415"/>
        <s v="CA-2020-101343"/>
        <s v="CA-2021-139619"/>
        <s v="CA-2020-118255"/>
        <s v="CA-2018-146703"/>
        <s v="CA-2019-115742"/>
        <s v="CA-2020-105816"/>
        <s v="CA-2020-111682"/>
        <s v="CA-2019-135545"/>
        <s v="CA-2018-106376"/>
        <s v="CA-2020-119823"/>
        <s v="CA-2020-106075"/>
        <s v="CA-2021-114440"/>
        <s v="US-2019-134026"/>
        <s v="US-2021-118038"/>
        <s v="CA-2020-127208"/>
        <s v="CA-2018-139451"/>
        <s v="CA-2019-149734"/>
        <s v="US-2021-119662"/>
        <s v="CA-2021-155558"/>
        <s v="CA-2020-159695"/>
        <s v="CA-2020-109806"/>
        <s v="CA-2019-149587"/>
        <s v="US-2021-109484"/>
        <s v="CA-2021-157833"/>
        <s v="CA-2020-149223"/>
        <s v="CA-2020-158568"/>
        <s v="CA-2020-129903"/>
        <s v="US-2019-156867"/>
        <s v="CA-2021-119004"/>
        <s v="CA-2020-128867"/>
        <s v="CA-2018-115259"/>
        <s v="US-2019-136476"/>
        <s v="CA-2020-103730"/>
        <s v="US-2021-107272"/>
        <s v="US-2021-164147"/>
        <s v="CA-2020-145583"/>
        <s v="CA-2021-106180"/>
        <s v="CA-2021-155376"/>
        <s v="CA-2019-110744"/>
        <s v="CA-2020-114489"/>
        <s v="CA-2020-158834"/>
        <s v="CA-2019-124919"/>
        <s v="CA-2019-118948"/>
        <s v="CA-2020-114104"/>
        <s v="CA-2020-162733"/>
        <s v="CA-2020-154508"/>
        <s v="CA-2020-113817"/>
        <s v="CA-2018-139892"/>
        <s v="CA-2018-118962"/>
        <s v="US-2018-100853"/>
        <s v="US-2021-152366"/>
        <s v="US-2019-101511"/>
        <s v="CA-2019-137225"/>
        <s v="CA-2018-166191"/>
        <s v="CA-2020-105018"/>
        <s v="CA-2020-157000"/>
        <s v="CA-2019-102281"/>
        <s v="CA-2019-131457"/>
        <s v="CA-2018-140004"/>
        <s v="CA-2021-107720"/>
        <s v="US-2021-124303"/>
        <s v="CA-2021-105074"/>
        <s v="CA-2018-133690"/>
        <s v="US-2021-116701"/>
        <s v="CA-2021-135860"/>
        <s v="CA-2019-146262"/>
        <s v="CA-2020-130162"/>
        <s v="CA-2019-169397"/>
        <s v="CA-2019-163055"/>
        <s v="US-2018-156216"/>
        <s v="US-2021-100930"/>
        <s v="CA-2021-160514"/>
        <s v="CA-2020-157749"/>
        <s v="CA-2018-131926"/>
        <s v="CA-2020-145625"/>
        <s v="CA-2020-146941"/>
        <s v="US-2019-159982"/>
        <s v="CA-2021-163139"/>
        <s v="US-2021-155299"/>
        <s v="CA-2021-136826"/>
        <s v="CA-2020-111010"/>
        <s v="US-2021-145366"/>
        <s v="CA-2021-163979"/>
        <s v="CA-2019-155334"/>
        <s v="CA-2021-118136"/>
        <s v="CA-2021-132976"/>
        <s v="US-2019-161991"/>
        <s v="CA-2019-130883"/>
        <s v="CA-2020-112697"/>
        <s v="CA-2020-110772"/>
        <s v="CA-2018-111451"/>
        <s v="CA-2020-142545"/>
        <s v="CA-2018-130960"/>
        <s v="CA-2018-111003"/>
        <s v="CA-2021-126774"/>
        <s v="CA-2020-142902"/>
        <s v="CA-2018-167850"/>
        <s v="CA-2018-164259"/>
        <s v="CA-2018-164973"/>
        <s v="CA-2018-156601"/>
        <s v="CA-2020-162138"/>
        <s v="US-2020-141544"/>
        <s v="US-2020-150147"/>
        <s v="CA-2019-137946"/>
        <s v="CA-2018-129924"/>
        <s v="CA-2019-128167"/>
        <s v="CA-2018-122336"/>
        <s v="US-2019-120712"/>
        <s v="CA-2021-134306"/>
        <s v="CA-2020-129714"/>
        <s v="CA-2020-138520"/>
        <s v="CA-2020-130001"/>
        <s v="CA-2021-155698"/>
        <s v="CA-2021-144904"/>
        <s v="CA-2018-123344"/>
        <s v="CA-2020-155516"/>
        <s v="CA-2021-104745"/>
        <s v="US-2018-119137"/>
        <s v="US-2020-134656"/>
        <s v="CA-2019-130792"/>
        <s v="CA-2020-134775"/>
        <s v="CA-2018-115973"/>
        <s v="CA-2021-101798"/>
        <s v="US-2018-134971"/>
        <s v="CA-2021-102946"/>
        <s v="CA-2021-165603"/>
        <s v="CA-2019-122259"/>
        <s v="CA-2020-108987"/>
        <s v="CA-2018-113166"/>
        <s v="CA-2018-155208"/>
        <s v="CA-2021-117933"/>
        <s v="CA-2021-117457"/>
        <s v="CA-2021-142636"/>
        <s v="CA-2021-122105"/>
        <s v="CA-2021-154816"/>
        <s v="CA-2021-110478"/>
        <s v="CA-2021-125388"/>
        <s v="CA-2021-149160"/>
        <s v="CA-2021-152275"/>
        <s v="US-2020-123750"/>
        <s v="CA-2020-127369"/>
        <s v="US-2018-150574"/>
        <s v="CA-2020-147375"/>
        <s v="CA-2021-130043"/>
        <s v="CA-2020-115756"/>
        <s v="CA-2020-166674"/>
        <s v="CA-2021-147277"/>
        <s v="US-2020-157945"/>
        <s v="CA-2019-109638"/>
        <s v="CA-2020-109869"/>
        <s v="US-2020-100419"/>
        <s v="CA-2019-154144"/>
        <s v="CA-2018-144666"/>
        <s v="CA-2020-100790"/>
        <s v="CA-2018-127691"/>
        <s v="CA-2021-140963"/>
        <s v="CA-2018-133753"/>
        <s v="CA-2018-113362"/>
        <s v="CA-2019-134782"/>
        <s v="CA-2020-126158"/>
        <s v="US-2020-105578"/>
        <s v="CA-2021-134978"/>
        <s v="CA-2019-145352"/>
        <s v="CA-2020-106341"/>
        <s v="CA-2021-163405"/>
        <s v="CA-2021-127432"/>
        <s v="CA-2019-157812"/>
        <s v="CA-2019-158792"/>
        <s v="US-2019-138303"/>
        <s v="CA-2020-168753"/>
        <s v="CA-2020-126613"/>
        <s v="US-2021-122637"/>
        <s v="CA-2019-147851"/>
        <s v="CA-2019-134894"/>
        <s v="US-2019-120201"/>
        <s v="CA-2021-162929"/>
        <s v="CA-2019-113173"/>
        <s v="CA-2021-101945"/>
        <s v="CA-2021-100650"/>
        <s v="CA-2018-155852"/>
        <s v="CA-2020-113243"/>
        <s v="CA-2021-118731"/>
        <s v="CA-2018-145576"/>
        <s v="CA-2019-130736"/>
        <s v="CA-2021-156951"/>
        <s v="CA-2021-164826"/>
        <s v="CA-2020-127250"/>
        <s v="CA-2019-149713"/>
        <s v="CA-2021-118640"/>
        <s v="CA-2019-132906"/>
        <s v="CA-2021-145233"/>
        <s v="CA-2019-128139"/>
        <s v="US-2020-156986"/>
        <s v="CA-2018-135405"/>
        <s v="CA-2018-131450"/>
        <s v="CA-2020-120180"/>
        <s v="US-2020-100720"/>
        <s v="CA-2018-149958"/>
        <s v="US-2018-105767"/>
        <s v="CA-2020-161816"/>
        <s v="CA-2020-121223"/>
        <s v="CA-2021-138611"/>
        <s v="CA-2021-117947"/>
        <s v="US-2018-111171"/>
        <s v="CA-2019-138009"/>
        <s v="CA-2021-153787"/>
        <s v="CA-2021-133431"/>
        <s v="US-2020-135720"/>
        <s v="CA-2021-144694"/>
        <s v="US-2020-123470"/>
        <s v="CA-2020-115917"/>
        <s v="CA-2021-167913"/>
        <s v="US-2021-127719"/>
        <s v="CA-2021-126221"/>
        <s v="CA-2020-103947"/>
        <s v="CA-2020-132661"/>
        <s v="CA-2021-140844"/>
        <s v="CA-2020-137239"/>
        <s v="US-2020-156097"/>
        <s v="CA-2019-146563"/>
        <s v="CA-2020-123666"/>
        <s v="CA-2020-143308"/>
        <s v="CA-2021-132682"/>
        <s v="US-2021-106663"/>
        <s v="CA-2021-111178"/>
        <s v="CA-2021-130351"/>
        <s v="US-2021-119438"/>
        <s v="CA-2020-164511"/>
        <s v="US-2021-168116"/>
        <s v="CA-2018-157784"/>
        <s v="US-2018-117135"/>
        <s v="CA-2019-131534"/>
        <s v="CA-2019-119291"/>
        <s v="CA-2018-138527"/>
        <s v="CA-2018-112158"/>
        <s v="CA-2018-113887"/>
        <s v="CA-2021-146136"/>
        <s v="US-2021-100048"/>
        <s v="CA-2018-153150"/>
        <s v="CA-2018-104472"/>
        <s v="CA-2020-112942"/>
        <s v="CA-2020-142335"/>
        <s v="CA-2020-114713"/>
        <s v="CA-2021-144113"/>
        <s v="US-2020-150861"/>
        <s v="CA-2021-131954"/>
        <s v="CA-2018-112326"/>
        <s v="US-2020-146710"/>
        <s v="CA-2018-124429"/>
        <s v="CA-2021-126074"/>
        <s v="CA-2018-106803"/>
        <s v="CA-2021-117240"/>
        <s v="CA-2021-133333"/>
        <s v="CA-2019-112319"/>
        <s v="CA-2021-126046"/>
        <s v="CA-2018-162775"/>
        <s v="CA-2021-104220"/>
        <s v="CA-2018-165974"/>
        <s v="CA-2019-144267"/>
        <s v="US-2019-157014"/>
        <s v="CA-2019-154921"/>
        <s v="CA-2021-129567"/>
        <s v="CA-2019-115938"/>
        <s v="CA-2018-156433"/>
        <s v="CA-2021-151428"/>
        <s v="CA-2019-124653"/>
      </sharedItems>
    </cacheField>
    <cacheField name="Order Date" numFmtId="14">
      <sharedItems containsSemiMixedTypes="0" containsNonDate="0" containsDate="1" containsString="0" minDate="2018-01-04T00:00:00" maxDate="2021-12-31T00:00:00" count="233">
        <d v="2020-06-12T00:00:00"/>
        <d v="2019-10-11T00:00:00"/>
        <d v="2018-06-09T00:00:00"/>
        <d v="2021-04-15T00:00:00"/>
        <d v="2020-12-05T00:00:00"/>
        <d v="2019-11-22T00:00:00"/>
        <d v="2018-11-11T00:00:00"/>
        <d v="2018-05-13T00:00:00"/>
        <d v="2018-08-27T00:00:00"/>
        <d v="2020-12-09T00:00:00"/>
        <d v="2020-01-16T00:00:00"/>
        <d v="2019-09-17T00:00:00"/>
        <d v="2021-10-19T00:00:00"/>
        <d v="2019-12-27T00:00:00"/>
        <d v="2020-07-17T00:00:00"/>
        <d v="2021-09-19T00:00:00"/>
        <d v="2020-03-11T00:00:00"/>
        <d v="2018-10-20T00:00:00"/>
        <d v="2019-04-18T00:00:00"/>
        <d v="2020-12-11T00:00:00"/>
        <d v="2020-06-17T00:00:00"/>
        <d v="2019-11-24T00:00:00"/>
        <d v="2018-12-05T00:00:00"/>
        <d v="2020-06-04T00:00:00"/>
        <d v="2020-09-18T00:00:00"/>
        <d v="2021-09-14T00:00:00"/>
        <d v="2019-04-26T00:00:00"/>
        <d v="2021-12-09T00:00:00"/>
        <d v="2018-10-12T00:00:00"/>
        <d v="2019-09-03T00:00:00"/>
        <d v="2021-11-13T00:00:00"/>
        <d v="2021-10-26T00:00:00"/>
        <d v="2020-04-05T00:00:00"/>
        <d v="2020-09-17T00:00:00"/>
        <d v="2019-01-31T00:00:00"/>
        <d v="2021-11-06T00:00:00"/>
        <d v="2021-06-17T00:00:00"/>
        <d v="2020-09-06T00:00:00"/>
        <d v="2020-08-29T00:00:00"/>
        <d v="2020-12-01T00:00:00"/>
        <d v="2019-11-13T00:00:00"/>
        <d v="2021-11-23T00:00:00"/>
        <d v="2020-11-03T00:00:00"/>
        <d v="2018-08-25T00:00:00"/>
        <d v="2019-04-05T00:00:00"/>
        <d v="2021-11-05T00:00:00"/>
        <d v="2021-02-02T00:00:00"/>
        <d v="2020-10-13T00:00:00"/>
        <d v="2021-09-18T00:00:00"/>
        <d v="2021-12-22T00:00:00"/>
        <d v="2019-09-07T00:00:00"/>
        <d v="2020-03-13T00:00:00"/>
        <d v="2019-05-31T00:00:00"/>
        <d v="2019-05-28T00:00:00"/>
        <d v="2020-11-20T00:00:00"/>
        <d v="2020-05-11T00:00:00"/>
        <d v="2020-11-16T00:00:00"/>
        <d v="2020-11-07T00:00:00"/>
        <d v="2018-09-08T00:00:00"/>
        <d v="2018-08-05T00:00:00"/>
        <d v="2018-09-14T00:00:00"/>
        <d v="2021-04-21T00:00:00"/>
        <d v="2019-11-21T00:00:00"/>
        <d v="2019-12-15T00:00:00"/>
        <d v="2020-11-28T00:00:00"/>
        <d v="2020-07-16T00:00:00"/>
        <d v="2019-10-12T00:00:00"/>
        <d v="2019-10-31T00:00:00"/>
        <d v="2018-03-21T00:00:00"/>
        <d v="2021-07-06T00:00:00"/>
        <d v="2021-06-24T00:00:00"/>
        <d v="2018-08-03T00:00:00"/>
        <d v="2021-12-17T00:00:00"/>
        <d v="2021-12-01T00:00:00"/>
        <d v="2019-01-02T00:00:00"/>
        <d v="2020-10-28T00:00:00"/>
        <d v="2019-12-24T00:00:00"/>
        <d v="2019-08-09T00:00:00"/>
        <d v="2018-09-13T00:00:00"/>
        <d v="2021-04-07T00:00:00"/>
        <d v="2021-11-12T00:00:00"/>
        <d v="2018-06-01T00:00:00"/>
        <d v="2020-09-11T00:00:00"/>
        <d v="2020-12-10T00:00:00"/>
        <d v="2019-11-28T00:00:00"/>
        <d v="2021-06-08T00:00:00"/>
        <d v="2021-06-16T00:00:00"/>
        <d v="2020-01-22T00:00:00"/>
        <d v="2021-12-28T00:00:00"/>
        <d v="2019-07-30T00:00:00"/>
        <d v="2021-09-16T00:00:00"/>
        <d v="2021-10-13T00:00:00"/>
        <d v="2019-09-26T00:00:00"/>
        <d v="2020-12-18T00:00:00"/>
        <d v="2018-12-26T00:00:00"/>
        <d v="2018-12-30T00:00:00"/>
        <d v="2020-09-12T00:00:00"/>
        <d v="2018-08-09T00:00:00"/>
        <d v="2018-12-28T00:00:00"/>
        <d v="2018-11-04T00:00:00"/>
        <d v="2018-09-19T00:00:00"/>
        <d v="2020-04-23T00:00:00"/>
        <d v="2020-08-30T00:00:00"/>
        <d v="2020-04-25T00:00:00"/>
        <d v="2019-09-01T00:00:00"/>
        <d v="2018-07-12T00:00:00"/>
        <d v="2019-06-22T00:00:00"/>
        <d v="2018-04-13T00:00:00"/>
        <d v="2019-12-20T00:00:00"/>
        <d v="2021-07-08T00:00:00"/>
        <d v="2020-09-01T00:00:00"/>
        <d v="2020-04-08T00:00:00"/>
        <d v="2021-03-08T00:00:00"/>
        <d v="2021-09-25T00:00:00"/>
        <d v="2018-09-24T00:00:00"/>
        <d v="2020-10-21T00:00:00"/>
        <d v="2021-05-29T00:00:00"/>
        <d v="2018-07-23T00:00:00"/>
        <d v="2020-09-28T00:00:00"/>
        <d v="2019-04-28T00:00:00"/>
        <d v="2018-11-24T00:00:00"/>
        <d v="2021-12-11T00:00:00"/>
        <d v="2018-06-07T00:00:00"/>
        <d v="2021-06-30T00:00:00"/>
        <d v="2021-10-17T00:00:00"/>
        <d v="2020-09-08T00:00:00"/>
        <d v="2018-12-24T00:00:00"/>
        <d v="2018-04-16T00:00:00"/>
        <d v="2021-12-24T00:00:00"/>
        <d v="2021-12-08T00:00:00"/>
        <d v="2021-11-03T00:00:00"/>
        <d v="2021-03-04T00:00:00"/>
        <d v="2021-10-01T00:00:00"/>
        <d v="2020-04-15T00:00:00"/>
        <d v="2020-06-06T00:00:00"/>
        <d v="2018-12-19T00:00:00"/>
        <d v="2021-09-15T00:00:00"/>
        <d v="2020-09-05T00:00:00"/>
        <d v="2020-04-01T00:00:00"/>
        <d v="2021-10-20T00:00:00"/>
        <d v="2020-09-26T00:00:00"/>
        <d v="2020-04-22T00:00:00"/>
        <d v="2020-12-16T00:00:00"/>
        <d v="2018-11-09T00:00:00"/>
        <d v="2020-06-26T00:00:00"/>
        <d v="2018-07-22T00:00:00"/>
        <d v="2021-06-10T00:00:00"/>
        <d v="2020-07-25T00:00:00"/>
        <d v="2020-05-30T00:00:00"/>
        <d v="2019-03-16T00:00:00"/>
        <d v="2020-10-20T00:00:00"/>
        <d v="2021-12-21T00:00:00"/>
        <d v="2021-01-22T00:00:00"/>
        <d v="2019-03-22T00:00:00"/>
        <d v="2019-12-26T00:00:00"/>
        <d v="2020-05-29T00:00:00"/>
        <d v="2020-07-10T00:00:00"/>
        <d v="2021-09-03T00:00:00"/>
        <d v="2019-12-03T00:00:00"/>
        <d v="2019-12-07T00:00:00"/>
        <d v="2019-12-18T00:00:00"/>
        <d v="2021-11-19T00:00:00"/>
        <d v="2019-11-15T00:00:00"/>
        <d v="2021-11-24T00:00:00"/>
        <d v="2021-06-29T00:00:00"/>
        <d v="2018-03-03T00:00:00"/>
        <d v="2020-06-10T00:00:00"/>
        <d v="2021-11-20T00:00:00"/>
        <d v="2019-09-18T00:00:00"/>
        <d v="2021-07-20T00:00:00"/>
        <d v="2019-09-10T00:00:00"/>
        <d v="2019-07-03T00:00:00"/>
        <d v="2020-03-20T00:00:00"/>
        <d v="2018-01-09T00:00:00"/>
        <d v="2018-08-08T00:00:00"/>
        <d v="2020-07-14T00:00:00"/>
        <d v="2018-03-15T00:00:00"/>
        <d v="2018-05-23T00:00:00"/>
        <d v="2020-04-28T00:00:00"/>
        <d v="2021-11-14T00:00:00"/>
        <d v="2021-08-18T00:00:00"/>
        <d v="2019-11-29T00:00:00"/>
        <d v="2021-05-19T00:00:00"/>
        <d v="2021-09-24T00:00:00"/>
        <d v="2020-08-15T00:00:00"/>
        <d v="2020-05-20T00:00:00"/>
        <d v="2021-07-30T00:00:00"/>
        <d v="2021-07-21T00:00:00"/>
        <d v="2021-12-30T00:00:00"/>
        <d v="2020-10-23T00:00:00"/>
        <d v="2021-06-19T00:00:00"/>
        <d v="2020-08-22T00:00:00"/>
        <d v="2020-09-19T00:00:00"/>
        <d v="2019-08-24T00:00:00"/>
        <d v="2020-03-26T00:00:00"/>
        <d v="2020-11-04T00:00:00"/>
        <d v="2021-06-09T00:00:00"/>
        <d v="2021-06-15T00:00:00"/>
        <d v="2021-12-05T00:00:00"/>
        <d v="2021-03-18T00:00:00"/>
        <d v="2020-11-19T00:00:00"/>
        <d v="2021-11-04T00:00:00"/>
        <d v="2018-07-05T00:00:00"/>
        <d v="2018-06-21T00:00:00"/>
        <d v="2019-03-28T00:00:00"/>
        <d v="2019-05-14T00:00:00"/>
        <d v="2018-09-12T00:00:00"/>
        <d v="2018-12-02T00:00:00"/>
        <d v="2018-04-05T00:00:00"/>
        <d v="2018-07-01T00:00:00"/>
        <d v="2018-06-02T00:00:00"/>
        <d v="2020-02-13T00:00:00"/>
        <d v="2020-12-15T00:00:00"/>
        <d v="2020-07-07T00:00:00"/>
        <d v="2020-12-03T00:00:00"/>
        <d v="2021-01-21T00:00:00"/>
        <d v="2018-01-04T00:00:00"/>
        <d v="2020-08-27T00:00:00"/>
        <d v="2018-05-27T00:00:00"/>
        <d v="2021-10-02T00:00:00"/>
        <d v="2018-12-29T00:00:00"/>
        <d v="2021-07-23T00:00:00"/>
        <d v="2019-08-31T00:00:00"/>
        <d v="2018-01-13T00:00:00"/>
        <d v="2021-01-30T00:00:00"/>
        <d v="2018-06-29T00:00:00"/>
        <d v="2019-08-21T00:00:00"/>
        <d v="2019-10-03T00:00:00"/>
        <d v="2019-05-23T00:00:00"/>
        <d v="2021-03-17T00:00:00"/>
        <d v="2019-06-26T00:00:00"/>
        <d v="2018-09-20T00:00:00"/>
        <d v="2021-09-21T00:00:00"/>
      </sharedItems>
      <fieldGroup par="24"/>
    </cacheField>
    <cacheField name="Ship Date" numFmtId="14">
      <sharedItems containsSemiMixedTypes="0" containsNonDate="0" containsDate="1" containsString="0" minDate="2018-01-02T00:00:00" maxDate="2021-12-30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241">
        <s v="DV-13045"/>
        <s v="SO-20335"/>
        <s v="BH-11710"/>
        <s v="AA-10480"/>
        <s v="IM-15070"/>
        <s v="HP-14815"/>
        <s v="PK-19075"/>
        <s v="AG-10270"/>
        <s v="ZD-21925"/>
        <s v="KB-16585"/>
        <s v="EH-13945"/>
        <s v="TB-21520"/>
        <s v="MA-17560"/>
        <s v="SN-20710"/>
        <s v="RA-19885"/>
        <s v="ES-14080"/>
        <s v="ON-18715"/>
        <s v="PO-18865"/>
        <s v="DP-13000"/>
        <s v="JM-15265"/>
        <s v="TB-21055"/>
        <s v="KM-1672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KD-16345"/>
        <s v="ER-13855"/>
        <s v="RB-19465"/>
        <s v="GZ-14470"/>
        <s v="LC-16870"/>
        <s v="JM-15250"/>
        <s v="CL-12565"/>
        <s v="RC-19960"/>
        <s v="GG-14650"/>
        <s v="SC-20725"/>
        <s v="TS-21610"/>
        <s v="DW-13585"/>
        <s v="LC-16885"/>
        <s v="SH-19975"/>
        <s v="SG-20080"/>
        <s v="HA-14920"/>
        <s v="JE-16165"/>
        <s v="TW-21025"/>
        <s v="SP-20650"/>
        <s v="NK-18490"/>
        <s v="NP-18670"/>
        <s v="TT-21070"/>
        <s v="RD-19900"/>
        <s v="MJ-17740"/>
        <s v="BM-11140"/>
        <s v="CS-12130"/>
        <s v="JB-15400"/>
        <s v="SJ-20500"/>
        <s v="JK-15640"/>
        <s v="DK-13150"/>
        <s v="SK-19990"/>
        <s v="AM-10360"/>
        <s v="MP-17470"/>
        <s v="MZ-17515"/>
        <s v="CB-12025"/>
        <s v="VM-21685"/>
        <s v="FH-14365"/>
        <s v="MB-17305"/>
        <s v="BS-11755"/>
        <s v="LC-17140"/>
        <s v="JH-15985"/>
        <s v="VW-21775"/>
        <s v="JH-15910"/>
        <s v="JB-15925"/>
        <s v="DS-13180"/>
        <s v="EA-14035"/>
        <s v="DB-13120"/>
        <s v="KL-16645"/>
        <s v="DW-13480"/>
        <s v="KC-16540"/>
        <s v="DL-13315"/>
        <s v="DR-12880"/>
        <s v="CC-12670"/>
        <s v="Dl-13600"/>
        <s v="CB-12535"/>
        <s v="CA-12310"/>
        <s v="KH-16690"/>
        <s v="BB-10990"/>
        <s v="AG-10495"/>
        <s v="AH-10195"/>
        <s v="NZ-18565"/>
        <s v="KL-16555"/>
        <s v="JD-15895"/>
        <s v="CR-12625"/>
        <s v="SH-20395"/>
        <s v="BP-11185"/>
        <s v="AG-10525"/>
        <s v="SP-20860"/>
        <s v="NM-18445"/>
        <s v="FA-14230"/>
        <s v="GK-14620"/>
        <s v="PO-18850"/>
        <s v="JL-15850"/>
        <s v="DB-13615"/>
        <s v="AC-10420"/>
        <s v="TD-20995"/>
        <s v="AB-10060"/>
        <s v="JL-15505"/>
        <s v="HK-14890"/>
        <s v="VB-21745"/>
        <s v="KW-16435"/>
        <s v="JD-16060"/>
        <s v="MK-17905"/>
        <s v="GT-14755"/>
        <s v="AG-10900"/>
        <s v="MM-18280"/>
        <s v="RA-19915"/>
        <s v="AS-10285"/>
        <s v="NG-18430"/>
        <s v="MV-18190"/>
        <s v="BP-11095"/>
        <s v="VP-21730"/>
        <s v="SS-20180"/>
        <s v="AG-10675"/>
        <s v="LF-17185"/>
        <s v="RF-19840"/>
        <s v="KH-16510"/>
        <s v="KC-16675"/>
        <s v="CJ-12010"/>
        <s v="MP-17965"/>
        <s v="KH-16630"/>
        <s v="RB-19795"/>
        <s v="DB-13060"/>
        <s v="MK-18160"/>
        <s v="PO-19180"/>
        <s v="BB-11545"/>
        <s v="RB-19360"/>
        <s v="EB-13705"/>
        <s v="NF-18385"/>
        <s v="TN-21040"/>
        <s v="MH-17785"/>
        <s v="JP-15520"/>
        <s v="JG-15805"/>
        <s v="EM-14065"/>
        <s v="MT-18070"/>
        <s v="CW-11905"/>
        <s v="AJ-10960"/>
        <s v="MD-17350"/>
        <s v="SC-20095"/>
        <s v="MY-17380"/>
        <s v="CM-12385"/>
        <s v="BN-11515"/>
        <s v="AD-10180"/>
        <s v="DB-13210"/>
        <s v="BD-11605"/>
        <s v="MG-18145"/>
        <s v="RL-19615"/>
        <s v="AA-10375"/>
        <s v="EP-13915"/>
        <s v="DK-12985"/>
        <s v="LM-17065"/>
        <s v="AS-10135"/>
        <s v="DK-13225"/>
        <s v="GT-14710"/>
        <s v="AJ-10945"/>
        <s v="OT-18730"/>
        <s v="LP-17080"/>
        <s v="CA-12775"/>
        <s v="JF-1549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AT-10735"/>
        <s v="FM-14380"/>
        <s v="ME-17725"/>
        <s v="JL-15835"/>
        <s v="CC-12430"/>
        <s v="SR-20740"/>
        <s v="AR-10405"/>
        <s v="CR-12730"/>
        <s v="EH-14125"/>
        <s v="SP-20545"/>
        <s v="RC-19825"/>
        <s v="TH-21235"/>
        <s v="MO-17800"/>
        <s v="RB-19570"/>
        <s v="CD-11980"/>
        <s v="DJ-13630"/>
        <s v="GT-14635"/>
        <s v="MC-17845"/>
        <s v="NP-18325"/>
        <s v="AB-10165"/>
        <s v="JO-15550"/>
        <s v="BN-11470"/>
        <s v="DP-13165"/>
        <s v="TH-21550"/>
        <s v="AP-10915"/>
        <s v="RS-19765"/>
        <s v="CK-12325"/>
        <s v="RD-19810"/>
        <s v="SC-20695"/>
        <s v="JF-15355"/>
        <s v="EG-13900"/>
        <s v="DS-13030"/>
        <s v="PO-19195"/>
        <s v="SS-20875"/>
        <s v="RF-19735"/>
        <s v="DC-13285"/>
        <s v="CP-12340"/>
        <s v="BF-11020"/>
        <s v="CS-12250"/>
        <s v="BV-11245"/>
        <s v="DL-12865"/>
        <s v="BM-11785"/>
        <s v="SA-20830"/>
        <s v="ES-14020"/>
        <s v="RH-19495"/>
      </sharedItems>
    </cacheField>
    <cacheField name="Customer Name" numFmtId="0">
      <sharedItems count="241"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Eric Hoffmann"/>
        <s v="Tracy Blumstein"/>
        <s v="Matt Abelman"/>
        <s v="Steve Nguyen"/>
        <s v="Ruben Ausman"/>
        <s v="Erin Smith"/>
        <s v="Odella Nelson"/>
        <s v="Patrick O'Donnell"/>
        <s v="Darren Powers"/>
        <s v="Janet Molinari"/>
        <s v="Ted Butterfield"/>
        <s v="Kunst Miller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Katherine Ducich"/>
        <s v="Elpida Rittenbach"/>
        <s v="Rick Bensley"/>
        <s v="Gary Zandusky"/>
        <s v="Lena Cacioppo"/>
        <s v="Janet Martin"/>
        <s v="Clay Ludtke"/>
        <s v="Ryan Crowe"/>
        <s v="Greg Guthrie"/>
        <s v="Steven Cartwright"/>
        <s v="Troy Staebel"/>
        <s v="Dorothy Wardle"/>
        <s v="Lena Creighton"/>
        <s v="Sally Hughsby"/>
        <s v="Sandra Glassco"/>
        <s v="Helen Andreada"/>
        <s v="Justin Ellison"/>
        <s v="Tamara Willingham"/>
        <s v="Stephanie Phelps"/>
        <s v="Neil Knudson"/>
        <s v="Nora Paige"/>
        <s v="Ted Trevino"/>
        <s v="Ruben Dartt"/>
        <s v="Max Jones"/>
        <s v="Becky Martin"/>
        <s v="Chad Sievert"/>
        <s v="Jennifer Braxton"/>
        <s v="Shirley Jackson"/>
        <s v="Jim Kriz"/>
        <s v="David Kendrick"/>
        <s v="Sally Knutso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Joseph Holt"/>
        <s v="Victoria Wilson"/>
        <s v="Jonathan Howell"/>
        <s v="Joni Blumstein"/>
        <s v="David Smith"/>
        <s v="Erin Ashbrook"/>
        <s v="David Bremer"/>
        <s v="Ken Lonsdale"/>
        <s v="Dianna Wilson"/>
        <s v="Kelly Collister"/>
        <s v="Delfina Latchford"/>
        <s v="Dan Reichenbach"/>
        <s v="Craig Carreira"/>
        <s v="Dorris liebe"/>
        <s v="Claudia Bergmann"/>
        <s v="Christine Abelman"/>
        <s v="Kristen Hastings"/>
        <s v="Barry Blumstein"/>
        <s v="Andrew Gjertsen"/>
        <s v="Alan Haines"/>
        <s v="Nick Zandusky"/>
        <s v="Kelly Lampkin"/>
        <s v="Jonathan Doherty"/>
        <s v="Corey Roper"/>
        <s v="Shahid Hopkins"/>
        <s v="Ben Peterman"/>
        <s v="Andy Gerbode"/>
        <s v="Sung Pak"/>
        <s v="Nathan Mautz"/>
        <s v="Frank Atkinson"/>
        <s v="Grace Kelly"/>
        <s v="Patrick O'Brill"/>
        <s v="John Lucas"/>
        <s v="Doug Bickford"/>
        <s v="Alyssa Crouse"/>
        <s v="Tamara Dahlen"/>
        <s v="Adam Bellavance"/>
        <s v="Jeremy Lonsdale"/>
        <s v="Heather Kirkland"/>
        <s v="Victoria Brennan"/>
        <s v="Katrina Willman"/>
        <s v="Julia Dunbar"/>
        <s v="Michael Kennedy"/>
        <s v="Guy Thornton"/>
        <s v="Arthur Gainer"/>
        <s v="Muhammed MacIntyre"/>
        <s v="Russell Applegate"/>
        <s v="Alejandro Savely"/>
        <s v="Nathan Gelder"/>
        <s v="Mike Vittorini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Michael Paige"/>
        <s v="Ken Heidel"/>
        <s v="Ross Baird"/>
        <s v="Dave Brooks"/>
        <s v="Mike Kennedy"/>
        <s v="Philisse Overcash"/>
        <s v="Brenda Bowman"/>
        <s v="Raymond Buch"/>
        <s v="Ed Braxton"/>
        <s v="Natalie Fritzler"/>
        <s v="Tanja Norvell"/>
        <s v="Maya Herman"/>
        <s v="Jeremy Pistek"/>
        <s v="John Grady"/>
        <s v="Erin Mull"/>
        <s v="Michelle Tran"/>
        <s v="Carl Weiss"/>
        <s v="Astrea Jones"/>
        <s v="Maribeth Dona"/>
        <s v="Sanjit Chand"/>
        <s v="Maribeth Yedwab"/>
        <s v="Christopher Martinez"/>
        <s v="Bradley Nguyen"/>
        <s v="Alan Dominguez"/>
        <s v="Dean Braden"/>
        <s v="Brian Dahlen"/>
        <s v="Mike Gockenbach"/>
        <s v="Rob Lucas"/>
        <s v="Allen Armold"/>
        <s v="Emily Phan"/>
        <s v="Darren Koutras"/>
        <s v="Liz MacKendrick"/>
        <s v="Adrian Shami"/>
        <s v="Dean Katz"/>
        <s v="Greg Tran"/>
        <s v="Ashley Jarboe"/>
        <s v="Olvera Toch"/>
        <s v="Liz Pelletier"/>
        <s v="Cynthia Arntzen"/>
        <s v="Jeremy Farry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Annie Thurman"/>
        <s v="Fred McMath"/>
        <s v="Max Engle"/>
        <s v="John Lee"/>
        <s v="Chuck Clark"/>
        <s v="Steven Roelle"/>
        <s v="Allen Rosenblatt"/>
        <s v="Craig Reiter"/>
        <s v="Eugene Hildebrand"/>
        <s v="Sibella Parks"/>
        <s v="Roy Collins"/>
        <s v="Tiffany House"/>
        <s v="Meg O'Connel"/>
        <s v="Rob Beeghly"/>
        <s v="Carol Darley"/>
        <s v="Doug Jacobs"/>
        <s v="Grant Thornton"/>
        <s v="Michael Chen"/>
        <s v="Naresj Patel"/>
        <s v="Alan Barnes"/>
        <s v="Jesus Ocampo"/>
        <s v="Brad Norvell"/>
        <s v="David Philippe"/>
        <s v="Tracy Hopkins"/>
        <s v="Arthur Prichep"/>
        <s v="Roland Schwarz"/>
        <s v="Christine Kargatis"/>
        <s v="Ross DeVincentis"/>
        <s v="Steve Chapman"/>
        <s v="Jay Fein"/>
        <s v="Emily Grady"/>
        <s v="Darrin Sayre"/>
        <s v="Phillina Ober"/>
        <s v="Sung Shariari"/>
        <s v="Roland Fjeld"/>
        <s v="Debra Catini"/>
        <s v="Christine Phan"/>
        <s v="Barry Französisch"/>
        <s v="Chris Selesnick"/>
        <s v="Benjamin Venier"/>
        <s v="Dan Lawera"/>
        <s v="Bryan Mills"/>
        <s v="Sue Ann Reed"/>
        <s v="Erica Smith"/>
        <s v="Rick Hansen"/>
      </sharedItems>
    </cacheField>
    <cacheField name="Segment" numFmtId="0">
      <sharedItems count="3">
        <s v="Corporate"/>
        <s v="Consumer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132"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Houston"/>
        <s v="Melbourne"/>
        <s v="Eagan"/>
        <s v="Westland"/>
        <s v="New Albany"/>
        <s v="New York City"/>
        <s v="Troy"/>
        <s v="Gilbert"/>
        <s v="Springfield"/>
        <s v="Jackson"/>
        <s v="Memphis"/>
        <s v="Decatur"/>
        <s v="Durham"/>
        <s v="Chicago"/>
        <s v="Rochester"/>
        <s v="Minneapolis"/>
        <s v="Portland"/>
        <s v="Saint Paul"/>
        <s v="Aurora"/>
        <s v="Charlotte"/>
        <s v="Urbandale"/>
        <s v="Columbus"/>
        <s v="Bristol"/>
        <s v="Wilmington"/>
        <s v="Phoenix"/>
        <s v="Roseville"/>
        <s v="Independence"/>
        <s v="Pasadena"/>
        <s v="Franklin"/>
        <s v="Scottsdale"/>
        <s v="San Jose"/>
        <s v="Edmond"/>
        <s v="Carlsbad"/>
        <s v="San Antonio"/>
        <s v="Newark"/>
        <s v="Fairfield"/>
        <s v="Grand Prairie"/>
        <s v="Redlands"/>
        <s v="Hamilton"/>
        <s v="Westfield"/>
        <s v="Akron"/>
        <s v="Denver"/>
        <s v="Dallas"/>
        <s v="Saginaw"/>
        <s v="Medina"/>
        <s v="Dublin"/>
        <s v="Detroit"/>
        <s v="Tampa"/>
        <s v="Santa Clara"/>
        <s v="Lakeville"/>
        <s v="San Diego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Saint Petersburg"/>
        <s v="Long Beach"/>
        <s v="Hesperia"/>
        <s v="Layton"/>
        <s v="Austin"/>
        <s v="Lowell"/>
        <s v="Manchester"/>
        <s v="Harlingen"/>
        <s v="Tucson"/>
        <s v="Quincy"/>
        <s v="Peoria"/>
        <s v="Las Vegas"/>
        <s v="Warwick"/>
        <s v="Miami"/>
        <s v="Huntington Beach"/>
        <s v="Richmond"/>
        <s v="Lawrence"/>
        <s v="Canton"/>
        <s v="Gastonia"/>
        <s v="Jacksonville"/>
        <s v="Auburn"/>
        <s v="Lindenhurst"/>
        <s v="Huntsville"/>
        <s v="Fayetteville"/>
        <s v="Costa Mesa"/>
        <s v="Parker"/>
        <s v="Atlanta"/>
        <s v="Great Falls"/>
        <s v="Montgomery"/>
        <s v="Mesa"/>
        <s v="Henderson"/>
        <s v="Anaheim"/>
        <s v="Marysville"/>
        <s v="Salem"/>
        <s v="Laredo"/>
        <s v="Grove City"/>
        <s v="Dearborn"/>
        <s v="Vallejo"/>
        <s v="Mission Viejo"/>
        <s v="Plainfield"/>
        <s v="Sierra Vista"/>
        <s v="Louisville"/>
        <s v="Tyler"/>
        <s v="Burlington"/>
        <s v="Waynesboro"/>
        <s v="Chester"/>
        <s v="Cary"/>
        <s v="Palm Coast"/>
        <s v="Mount Vernon"/>
        <s v="Orem"/>
        <s v="Hialeah"/>
        <s v="Oceanside"/>
        <s v="Naperville"/>
        <s v="Trenton"/>
        <s v="Cottage Grove"/>
        <s v="Green Bay"/>
        <s v="Bossier City"/>
        <s v="Des Moines"/>
        <s v="Columbia"/>
        <s v="Lancaster"/>
      </sharedItems>
    </cacheField>
    <cacheField name="State" numFmtId="0">
      <sharedItems count="38">
        <s v="California"/>
        <s v="Florida"/>
        <s v="North Carolina"/>
        <s v="Washington"/>
        <s v="Texas"/>
        <s v="Wisconsin"/>
        <s v="Utah"/>
        <s v="Nebraska"/>
        <s v="Pennsylvania"/>
        <s v="Minnesota"/>
        <s v="Michigan"/>
        <s v="Indiana"/>
        <s v="New York"/>
        <s v="Arizona"/>
        <s v="Virginia"/>
        <s v="Tennessee"/>
        <s v="Alabama"/>
        <s v="Illinois"/>
        <s v="Oregon"/>
        <s v="Colorado"/>
        <s v="Iowa"/>
        <s v="Ohio"/>
        <s v="Delaware"/>
        <s v="Missouri"/>
        <s v="Oklahoma"/>
        <s v="New Mexico"/>
        <s v="Connecticut"/>
        <s v="New Jersey"/>
        <s v="Massachusetts"/>
        <s v="Georgia"/>
        <s v="Nevada"/>
        <s v="Rhode Island"/>
        <s v="Kentucky"/>
        <s v="Arkansas"/>
        <s v="Montana"/>
        <s v="Mississippi"/>
        <s v="Louisiana"/>
        <s v="South Carolina"/>
      </sharedItems>
    </cacheField>
    <cacheField name="Postal Code" numFmtId="0">
      <sharedItems containsSemiMixedTypes="0" containsString="0" containsNumber="1" containsInteger="1" minValue="1841" maxValue="98270"/>
    </cacheField>
    <cacheField name="Region" numFmtId="0">
      <sharedItems/>
    </cacheField>
    <cacheField name="Product ID" numFmtId="0">
      <sharedItems count="386">
        <s v="OFF-LA-10000240"/>
        <s v="OFF-ST-10000760"/>
        <s v="OFF-AR-10002833"/>
        <s v="OFF-BI-10003910"/>
        <s v="OFF-AP-10002892"/>
        <s v="OFF-PA-10002365"/>
        <s v="OFF-BI-10003656"/>
        <s v="OFF-AP-10002311"/>
        <s v="OFF-BI-10000756"/>
        <s v="OFF-ST-10004186"/>
        <s v="OFF-ST-10000107"/>
        <s v="OFF-AR-10003056"/>
        <s v="OFF-BI-10002215"/>
        <s v="OFF-AR-10000246"/>
        <s v="OFF-AP-10001492"/>
        <s v="OFF-BI-10001634"/>
        <s v="OFF-BI-10000474"/>
        <s v="OFF-EN-10001509"/>
        <s v="OFF-AR-10004042"/>
        <s v="OFF-BI-10001525"/>
        <s v="OFF-AR-10001683"/>
        <s v="OFF-PA-10000249"/>
        <s v="OFF-EN-10002986"/>
        <s v="OFF-ST-10003479"/>
        <s v="OFF-ST-10003282"/>
        <s v="OFF-BI-10003291"/>
        <s v="OFF-ST-10001713"/>
        <s v="OFF-BI-10004410"/>
        <s v="OFF-LA-10002762"/>
        <s v="OFF-FA-10000304"/>
        <s v="OFF-ST-10000604"/>
        <s v="OFF-PA-10001569"/>
        <s v="OFF-PA-10000587"/>
        <s v="OFF-BI-10001460"/>
        <s v="OFF-AR-10001868"/>
        <s v="OFF-BI-10001078"/>
        <s v="OFF-PA-10003892"/>
        <s v="OFF-AR-10002671"/>
        <s v="OFF-PA-10000482"/>
        <s v="OFF-BI-10004654"/>
        <s v="OFF-PA-10004675"/>
        <s v="OFF-ST-10004123"/>
        <s v="OFF-BI-10004182"/>
        <s v="OFF-ST-10000615"/>
        <s v="OFF-AP-10002118"/>
        <s v="OFF-BI-10002309"/>
        <s v="OFF-AR-10002053"/>
        <s v="OFF-ST-10002370"/>
        <s v="OFF-EN-10000927"/>
        <s v="OFF-ST-10003656"/>
        <s v="OFF-LA-10000134"/>
        <s v="OFF-ST-10003442"/>
        <s v="OFF-AR-10004930"/>
        <s v="OFF-PA-10000304"/>
        <s v="OFF-PA-10003177"/>
        <s v="OFF-BI-10002852"/>
        <s v="OFF-BI-10004738"/>
        <s v="OFF-BI-10001721"/>
        <s v="OFF-AP-10000358"/>
        <s v="OFF-PA-10003256"/>
        <s v="OFF-BI-10002609"/>
        <s v="OFF-PA-10004040"/>
        <s v="OFF-BI-10002794"/>
        <s v="OFF-AR-10000390"/>
        <s v="OFF-AR-10000380"/>
        <s v="OFF-BI-10003981"/>
        <s v="OFF-FA-10000621"/>
        <s v="OFF-EN-10002600"/>
        <s v="OFF-PA-10004965"/>
        <s v="OFF-EN-10002504"/>
        <s v="OFF-BI-10003650"/>
        <s v="OFF-ST-10000777"/>
        <s v="OFF-EN-10002500"/>
        <s v="OFF-BI-10003274"/>
        <s v="OFF-ST-10002974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OFF-BI-10002735"/>
        <s v="OFF-AP-10000326"/>
        <s v="OFF-PA-10001950"/>
        <s v="OFF-PA-10002254"/>
        <s v="OFF-ST-10001590"/>
        <s v="OFF-AR-10001547"/>
        <s v="OFF-LA-10002475"/>
        <s v="OFF-PA-10002751"/>
        <s v="OFF-EN-10001990"/>
        <s v="OFF-BI-10004002"/>
        <s v="OFF-AR-10004441"/>
        <s v="OFF-ST-10000991"/>
        <s v="OFF-AR-10002656"/>
        <s v="OFF-AP-10002518"/>
        <s v="OFF-PA-10000659"/>
        <s v="OFF-PA-10001144"/>
        <s v="OFF-AP-10000891"/>
        <s v="OFF-LA-10003148"/>
        <s v="OFF-AP-10002684"/>
        <s v="OFF-SU-10002189"/>
        <s v="OFF-AR-10001940"/>
        <s v="OFF-ST-10003455"/>
        <s v="OFF-BI-10001890"/>
        <s v="OFF-ST-10001328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OFF-AP-10003622"/>
        <s v="OFF-AP-10003217"/>
        <s v="OFF-ST-10000642"/>
        <s v="OFF-FA-10000134"/>
        <s v="OFF-ST-10001522"/>
        <s v="OFF-LA-10004544"/>
        <s v="OFF-FA-10000585"/>
        <s v="OFF-PA-10004000"/>
        <s v="OFF-AR-10001958"/>
        <s v="OFF-AR-10001026"/>
        <s v="OFF-ST-10002485"/>
        <s v="OFF-BI-10001679"/>
        <s v="OFF-PA-10002479"/>
        <s v="OFF-PA-10003349"/>
        <s v="OFF-ST-10002276"/>
        <s v="OFF-PA-10004082"/>
        <s v="OFF-AP-10002945"/>
        <s v="OFF-PA-10004569"/>
        <s v="OFF-ST-10001228"/>
        <s v="OFF-EN-10003296"/>
        <s v="OFF-ST-10004804"/>
        <s v="OFF-ST-10002790"/>
        <s v="OFF-BI-10003460"/>
        <s v="OFF-AP-10002203"/>
        <s v="OFF-AR-10003602"/>
        <s v="OFF-FA-10003472"/>
        <s v="OFF-ST-10004180"/>
        <s v="OFF-EN-10004386"/>
        <s v="OFF-ST-10003208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OFF-PA-10000474"/>
        <s v="OFF-PA-10004100"/>
        <s v="OFF-BI-10000778"/>
        <s v="OFF-SU-10000646"/>
        <s v="OFF-FA-10002983"/>
        <s v="OFF-LA-10004689"/>
        <s v="OFF-BI-10004593"/>
        <s v="OFF-FA-10004854"/>
        <s v="OFF-PA-10002105"/>
        <s v="OFF-ST-10002756"/>
        <s v="OFF-PA-10004243"/>
        <s v="OFF-BI-10002706"/>
        <s v="OFF-AR-10003651"/>
        <s v="OFF-BI-10001072"/>
        <s v="OFF-AR-10002135"/>
        <s v="OFF-AR-10002804"/>
        <s v="OFF-LA-10000634"/>
        <s v="OFF-PA-10001937"/>
        <s v="OFF-AR-10003373"/>
        <s v="OFF-FA-10000624"/>
        <s v="OFF-ST-10000675"/>
        <s v="OFF-LA-10001074"/>
        <s v="OFF-BI-10001524"/>
        <s v="OFF-BI-10001153"/>
        <s v="OFF-BI-10001982"/>
        <s v="OFF-BI-10001922"/>
        <s v="OFF-BI-10004140"/>
        <s v="OFF-BI-10003314"/>
        <s v="OFF-FA-10000490"/>
        <s v="OFF-AR-10000122"/>
        <s v="OFF-AR-10001374"/>
        <s v="OFF-PA-10001970"/>
        <s v="OFF-BI-10002160"/>
        <s v="OFF-BI-10004995"/>
        <s v="OFF-EN-10001137"/>
        <s v="OFF-AR-10002399"/>
        <s v="OFF-PA-10002713"/>
        <s v="OFF-AP-10001124"/>
        <s v="OFF-LA-10001158"/>
        <s v="OFF-AR-10003732"/>
        <s v="OFF-BI-10002412"/>
        <s v="OFF-SU-10001225"/>
        <s v="OFF-ST-10002406"/>
        <s v="OFF-PA-10002036"/>
        <s v="OFF-ST-10002205"/>
        <s v="OFF-AR-10000658"/>
        <s v="OFF-PA-10003039"/>
        <s v="OFF-AP-10000696"/>
        <s v="OFF-ST-10003327"/>
        <s v="OFF-BI-10000309"/>
        <s v="OFF-PA-10004734"/>
        <s v="OFF-BI-10002225"/>
        <s v="OFF-AR-10004757"/>
        <s v="OFF-BI-10000050"/>
        <s v="OFF-BI-10003982"/>
        <s v="OFF-BI-10004492"/>
        <s v="OFF-ST-10000798"/>
        <s v="OFF-PA-10002552"/>
        <s v="OFF-SU-10002573"/>
        <s v="OFF-ST-10001580"/>
        <s v="OFF-ST-10000934"/>
        <s v="OFF-PA-10001947"/>
        <s v="OFF-AR-10003478"/>
        <s v="OFF-AP-10004249"/>
        <s v="OFF-PA-10003724"/>
        <s v="OFF-PA-10002893"/>
        <s v="OFF-LA-10003766"/>
        <s v="OFF-PA-10000157"/>
        <s v="OFF-AR-10004344"/>
        <s v="OFF-PA-10003845"/>
        <s v="OFF-AR-10001573"/>
        <s v="OFF-EN-10000483"/>
        <s v="OFF-ST-10000918"/>
        <s v="OFF-BI-10001543"/>
        <s v="OFF-AR-10000369"/>
        <s v="OFF-BI-10004584"/>
        <s v="OFF-ST-10000617"/>
        <s v="OFF-ST-10003306"/>
        <s v="OFF-BI-10000773"/>
        <s v="OFF-PA-10002230"/>
        <s v="OFF-ST-10000060"/>
        <s v="OFF-ST-10003058"/>
        <s v="OFF-PA-10002222"/>
        <s v="OFF-LA-10001317"/>
        <s v="OFF-AR-10000588"/>
        <s v="OFF-ST-10001469"/>
        <s v="OFF-AR-10001953"/>
        <s v="OFF-AR-10003156"/>
        <s v="OFF-AR-10004974"/>
        <s v="OFF-ST-10000142"/>
        <s v="OFF-EN-10001415"/>
        <s v="OFF-AP-10002472"/>
        <s v="OFF-BI-10001098"/>
        <s v="OFF-BI-10000315"/>
        <s v="OFF-SU-10003505"/>
        <s v="OFF-AP-10002578"/>
        <s v="OFF-BI-10002194"/>
        <s v="OFF-PA-10004071"/>
        <s v="OFF-ST-10002743"/>
        <s v="OFF-ST-10001321"/>
        <s v="OFF-PA-10001509"/>
        <s v="OFF-PA-10003465"/>
        <s v="OFF-AR-10003045"/>
        <s v="OFF-ST-10000689"/>
        <s v="OFF-LA-10003923"/>
        <s v="OFF-ST-10001809"/>
        <s v="OFF-EN-10003845"/>
        <s v="OFF-EN-10001434"/>
        <s v="OFF-BI-10002498"/>
        <s v="OFF-BI-10001670"/>
        <s v="OFF-BI-10001658"/>
        <s v="OFF-BI-10000831"/>
        <s v="OFF-PA-10000357"/>
        <s v="OFF-AR-10001662"/>
        <s v="OFF-AR-10003856"/>
        <s v="OFF-BI-10003527"/>
        <s v="OFF-AR-10003811"/>
        <s v="OFF-AR-10001246"/>
        <s v="OFF-ST-10004507"/>
        <s v="OFF-PA-10001667"/>
        <s v="OFF-ST-10004459"/>
        <s v="OFF-ST-10000736"/>
        <s v="OFF-BI-10000285"/>
        <s v="OFF-FA-10002815"/>
        <s v="OFF-ST-10004963"/>
        <s v="OFF-SU-10002881"/>
        <s v="OFF-EN-10001335"/>
        <s v="OFF-ST-10001325"/>
        <s v="OFF-BI-10002429"/>
        <s v="OFF-BI-10004528"/>
        <s v="OFF-AP-10001271"/>
        <s v="OFF-BI-10000404"/>
        <s v="OFF-PA-10002986"/>
        <s v="OFF-SU-10001935"/>
        <s v="OFF-FA-10004248"/>
        <s v="OFF-ST-10001780"/>
        <s v="OFF-AR-10003560"/>
        <s v="OFF-LA-10001297"/>
        <s v="OFF-PA-10003441"/>
        <s v="OFF-BI-10000069"/>
        <s v="OFF-AP-10003914"/>
        <s v="OFF-FA-10003467"/>
        <s v="OFF-PA-10004530"/>
        <s v="OFF-BI-10001107"/>
        <s v="OFF-PA-10004451"/>
        <s v="OFF-AR-10003394"/>
        <s v="OFF-PA-10001450"/>
        <s v="OFF-SU-10001574"/>
        <s v="OFF-SU-10004498"/>
        <s v="OFF-BI-10002764"/>
        <s v="OFF-LA-10003930"/>
        <s v="OFF-PA-10002005"/>
        <s v="OFF-PA-10004101"/>
        <s v="OFF-AR-10004078"/>
        <s v="OFF-AP-10004708"/>
        <s v="OFF-SU-10004115"/>
        <s v="OFF-ST-10001490"/>
        <s v="OFF-PA-10002120"/>
        <s v="OFF-BI-10000848"/>
        <s v="OFF-LA-10004345"/>
        <s v="OFF-PA-10001204"/>
        <s v="OFF-BI-10002949"/>
        <s v="OFF-BI-10002824"/>
        <s v="OFF-BI-10002103"/>
        <s v="OFF-AP-10000179"/>
        <s v="OFF-ST-10001272"/>
        <s v="OFF-AP-10001563"/>
        <s v="OFF-BI-10000605"/>
        <s v="OFF-ST-10001963"/>
        <s v="OFF-BI-10001989"/>
        <s v="OFF-AP-10003287"/>
        <s v="OFF-BI-10004728"/>
        <s v="OFF-ST-10000585"/>
        <s v="OFF-LA-10002787"/>
        <s v="OFF-PA-10001934"/>
        <s v="OFF-AP-10002457"/>
        <s v="OFF-FA-10003112"/>
        <s v="OFF-AP-10002350"/>
        <s v="OFF-AP-10002439"/>
        <s v="OFF-BI-10002827"/>
        <s v="OFF-EN-10002230"/>
        <s v="OFF-ST-10001511"/>
        <s v="OFF-SU-10004231"/>
        <s v="OFF-AR-10001954"/>
        <s v="OFF-AP-10004532"/>
        <s v="OFF-PA-10002137"/>
        <s v="OFF-AP-10000804"/>
        <s v="OFF-BI-10004632"/>
        <s v="OFF-BI-10003305"/>
        <s v="OFF-ST-10002583"/>
        <s v="OFF-LA-10001934"/>
        <s v="OFF-ST-10002444"/>
        <s v="OFF-PA-10000743"/>
        <s v="OFF-LA-10002312"/>
        <s v="OFF-LA-10003510"/>
        <s v="OFF-AR-10001118"/>
        <s v="OFF-BI-10001575"/>
        <s v="OFF-PA-10001800"/>
        <s v="OFF-AP-10001469"/>
        <s v="OFF-EN-10001219"/>
        <s v="OFF-AP-10001154"/>
        <s v="OFF-BI-10003355"/>
        <s v="OFF-PA-10004092"/>
        <s v="OFF-ST-10000036"/>
        <s v="OFF-SU-10004664"/>
        <s v="OFF-EN-10001141"/>
        <s v="OFF-PA-10001954"/>
        <s v="OFF-ST-10004634"/>
        <s v="OFF-BI-10000138"/>
        <s v="OFF-LA-10003223"/>
        <s v="OFF-BI-10004094"/>
        <s v="OFF-PA-10004971"/>
        <s v="OFF-SU-10004261"/>
        <s v="OFF-BI-10003638"/>
        <s v="OFF-BI-10000546"/>
        <s v="OFF-LA-10004484"/>
        <s v="OFF-EN-10001532"/>
        <s v="OFF-BI-10004187"/>
        <s v="OFF-ST-10000025"/>
        <s v="OFF-BI-10001036"/>
        <s v="OFF-BI-10000301"/>
        <s v="OFF-AR-10004648"/>
        <s v="OFF-AR-10003405"/>
        <s v="OFF-PA-10003657"/>
        <s v="OFF-EN-10000056"/>
        <s v="OFF-BI-10000014"/>
        <s v="OFF-BI-10001132"/>
        <s v="OFF-LA-10001569"/>
        <s v="OFF-PA-10000176"/>
        <s v="OFF-LA-10002271"/>
      </sharedItems>
    </cacheField>
    <cacheField name="Category" numFmtId="0">
      <sharedItems count="1">
        <s v="Office Supplies"/>
      </sharedItems>
    </cacheField>
    <cacheField name="Sub-Category" numFmtId="0">
      <sharedItems count="9">
        <s v="Labels"/>
        <s v="Storage"/>
        <s v="Art"/>
        <s v="Binders"/>
        <s v="Appliances"/>
        <s v="Paper"/>
        <s v="Envelopes"/>
        <s v="Fasteners"/>
        <s v="Supplies"/>
      </sharedItems>
    </cacheField>
    <cacheField name="Product Name" numFmtId="0">
      <sharedItems count="384">
        <s v="Self-Adhesive Address Labels for Typewriters by Universal"/>
        <s v="Eldon Fold 'N Roll Cart System"/>
        <s v="Newell 322"/>
        <s v="DXL Angle-View Binders with Locking Rings by Samsill"/>
        <s v="Belkin F5C206VTEL 6 Outlet Surge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Wilson Jones Hanging View Binder, White, 1&quot;"/>
        <s v="Newell 318"/>
        <s v="Acco Six-Outlet Power Strip, 4' Cord Length"/>
        <s v="Wilson Jones Active Use Binders"/>
        <s v="Avery Recycled Flexi-View Covers for Binding Systems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#10-4 1/8&quot; x 9 1/2&quot; Premium Diagonal Seam Envelopes"/>
        <s v="Eldon Base for stackable storage shelf, platinum"/>
        <s v="Advantus 10-Drawer Portable Organizer, Chrome Metal Frame, Smoke Drawers"/>
        <s v="Wilson Jones Leather-Like Binders with DublLock Round Rings"/>
        <s v="Gould Plastics 9-Pocket Panel Bin, 18-3/8w x 5-1/4d x 20-1/2h, Black"/>
        <s v="C-Line Peel &amp; Stick Add-On Filing Pockets, 8-3/4 x 5-1/8, 10/Pack"/>
        <s v="Avery 485"/>
        <s v="Advantus Push Pins"/>
        <s v="Home/Office Personal File Carts"/>
        <s v="Xerox 232"/>
        <s v="Array Parchment Paper, Assorted Colors"/>
        <s v="Plastic Binding Combs"/>
        <s v="Prang Dustless Chalk Sticks"/>
        <s v="Acco PRESSTEX Data Binder with Storage Hooks, Dark Blue, 14 7/8&quot; X 11&quot;"/>
        <s v="Xerox 1943"/>
        <s v="Hunt BOSTON Model 1606 High-Volume Electric Pencil Sharpener, Beige"/>
        <s v="Snap-A-Way Black Print Carbonless Ruled Speed Letter, Triplicate"/>
        <s v="Avery Binding System Hidden Tab Executive Style Index Sets"/>
        <s v="Telephone Message Books with Fax/Mobile Section, 5 1/2&quot; x 3 3/16&quot;"/>
        <s v="Safco Industrial Wire Shelving System"/>
        <s v="Economy Binders"/>
        <s v="SimpliFile Personal File, Black Granite, 15w x 6-15/16d x 11-1/4h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Avery 511"/>
        <s v="Eldon Portable Mobile Manager"/>
        <s v="Turquoise Lead Holder with Pocket Clip"/>
        <s v="Xerox 1995"/>
        <s v="Xerox 1999"/>
        <s v="Ibico Standard Transparent Covers"/>
        <s v="Flexible Leather- Look Classic Collection Ring Binder"/>
        <s v="Trimflex Flexible Post Binders"/>
        <s v="Fellowes Basic Home/Office Series Surge Protectors"/>
        <s v="Avery Personal Creations Heavyweight Cards"/>
        <s v="Avery Hidden Tab Dividers for Binding Systems"/>
        <s v="Universal Premium White Copier/Laser Paper (20Lb. and 87 Bright)"/>
        <s v="Avery Trapezoid Ring Binder, 3&quot; Capacity, Black, 1040 sheets"/>
        <s v="Newell Chalk Holder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GBC DocuBind 300 Electric Binding Machine"/>
        <s v="Companion Letter/Legal File, Black"/>
        <s v="Globe Weis Peel &amp; Seel First Class Envelopes"/>
        <s v="Avery Durable Slant Ring Binders, No Labels"/>
        <s v="Trav-L-File Heavy-Duty Shuttle II, Black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GBC Prestige Therm-A-Bind Covers"/>
        <s v="Belkin 7 Outlet SurgeMaster Surge Protector with Phone Protection"/>
        <s v="Southworth 25% Cotton Antique Laid Paper &amp; Envelopes"/>
        <s v="Xerox 1883"/>
        <s v="Tenex Personal Project File with Scoop Front Design, Black"/>
        <s v="Newell 311"/>
        <s v="Avery 519"/>
        <s v="Xerox 1920"/>
        <s v="Staple envelope"/>
        <s v="Wilson Jones International Size A4 Ring Binders"/>
        <s v="BIC Brite Liner Highlighters"/>
        <s v="Space Solutions HD Industrial Steel Shelving."/>
        <s v="Sanford Liquid Accent Highlighters"/>
        <s v="Kensington 7 Outlet MasterPiece Power Center"/>
        <s v="Adams Phone Message Book, Professional, 400 Message Capacity, 5 3/6” x 11”"/>
        <s v="Xerox 1913"/>
        <s v="Kensington 7 Outlet MasterPiece HOMEOFFICE Power Control Center"/>
        <s v="Avery 51"/>
        <s v="Acco 7-Outlet Masterpiece Power Center, Wihtout Fax/Phone Line Protection"/>
        <s v="Acme Rosewood Handle Letter Opener"/>
        <s v="Sanford Colorific Eraseable Coloring Pencils, 12 Count"/>
        <s v="Tenex File Box, Personal Filing Tote with Lid, Black"/>
        <s v="Avery Poly Binder Pockets"/>
        <s v="Personal Filing Tote with Lid, Black/Gray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ravo II Megaboss 12-Amp Hard Body Upright, Replacement Belts, 2 Belts per Pack"/>
        <s v="Eureka Sanitaire  Commercial Upright"/>
        <s v="Tennsco Lockers, Gray"/>
        <s v="Advantus Push Pins, Aluminum Head"/>
        <s v="Gould Plastics 18-Pocket Panel Bin, 34w x 5-1/4d x 20-1/2h"/>
        <s v="Avery 505"/>
        <s v="OIC Bulk Pack Metal Binder Clips"/>
        <s v="While You Were Out Pads, 50 per Pad, 4 x 5 1/4, Green Cycle"/>
        <s v="Stanley Bostitch Contemporary Electric Pencil Sharpeners"/>
        <s v="Sanford Uni-Blazer View Highlighters, Chisel Tip, Yellow"/>
        <s v="Rogers Deluxe File Chest"/>
        <s v="GBC Instant Index System for Binding Systems"/>
        <s v="Xerox 4200 Series MultiUse Premium Copy Paper (20Lb. and 84 Bright)"/>
        <s v="Xerox 1957"/>
        <s v="Safco Steel Mobile File Cart"/>
        <s v="Adams Telephone Message Book w/Frequently-Called Numbers Space, 400 Messages per Book"/>
        <s v="Honeywell Enviracaire Portable HEPA Air Cleaner for 17' x 22' Room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Safco Industrial Shelving"/>
        <s v="Acco 3-Hole Punch"/>
        <s v="Eureka Disposable Bags for Sanitaire Vibra Groomer I Upright Vac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Presstex Flexible Ring Binders"/>
        <s v="Ampad Gold Fibre Wirebound Steno Books, 6&quot; x 9&quot;, Gregg Ruled"/>
        <s v="Newell 330"/>
        <s v="Post-it “Important Message” Note Pad, Neon Colors, 50 Sheets/Pad"/>
        <s v="Adams Write n' Stick Phone Message Book, 11&quot; X 5 1/4&quot;, 200 Messages"/>
        <s v="Eldon Simplefile Box Office"/>
        <s v="Avery 489"/>
        <s v="Round Ring Binders"/>
        <s v="Xerox 216"/>
        <s v="GBC VeloBinder Electric Binding Machine"/>
        <s v="Premier Automatic Letter Opener"/>
        <s v="Advantus SlideClip Paper Clips"/>
        <s v="Avery 512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Avery Premier Heavy-Duty Binder with Round Locking Rings"/>
        <s v="Newell 350"/>
        <s v="GBC Clear Cover, 8-1/2 x 11, unpunched, 25 covers per pack"/>
        <s v="Boston Heavy-Duty Trimline Electric Pencil Sharpeners"/>
        <s v="Faber Castell Col-Erase Pencils"/>
        <s v="Avery 509"/>
        <s v="Xerox 21"/>
        <s v="Boston School Pro Electric Pencil Sharpener, 1670"/>
        <s v="OIC Binder Clips"/>
        <s v="File Shuttle II and Handi-File, Black"/>
        <s v="Round Specialty Laser Printer Labels"/>
        <s v="GBC Premium Transparent Covers with Diagonal Lined Pattern"/>
        <s v="Ibico Recycled Grain-Textured Covers"/>
        <s v="Wilson Jones Custom Binder Spines &amp; Labels"/>
        <s v="Storex Dura Pro Binders"/>
        <s v="Avery Non-Stick Binders"/>
        <s v="Tuff Stuff Recycled Round Ring Binders"/>
        <s v="OIC Binder Clips, Mini, 1/4&quot; Capacity, Black"/>
        <s v="Newell 314"/>
        <s v="BIC Brite Liner Highlighters, Chisel Tip"/>
        <s v="Xerox 1881"/>
        <s v="Acco Hanging Data Binders"/>
        <s v="GBC DocuBind P400 Electric Binding System"/>
        <s v="#10 Gummed Flap White Envelopes, 100/Box"/>
        <s v="Dixon Prang Watercolor Pencils, 10-Color Set with Brush"/>
        <s v="Adams Phone Message Book, 200 Message Capacity, 8 1/16” x 11”"/>
        <s v="Belkin 8 Outlet SurgeMaster II Gold Surge Protector with Phone Protection"/>
        <s v="Avery Address/Shipping Labels for Typewriters, 4&quot; x 2&quot;"/>
        <s v="Newell 333"/>
        <s v="Wilson Jones “Snap” Scratch Pad Binder Tool for Ring Binders"/>
        <s v="Staple remover"/>
        <s v="Pizazz Global Quick File"/>
        <s v="Xerox 1930"/>
        <s v="File Shuttle I and Handi-File"/>
        <s v="Newell 324"/>
        <s v="Xerox 1960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Crayola Colored Pencils"/>
        <s v="Angle-D Binders with Locking Rings, Label Holders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Xerox 1974"/>
        <s v="Avery Hi-Liter EverBold Pen Style Fluorescent Highlighters, 4/Pack"/>
        <s v="Staple holder"/>
        <s v="Wirebound Message Book, 4 per Page"/>
        <s v="Wirebound Service Call Books, 5 1/2&quot; x 4&quot;"/>
        <s v="Self-Adhesive Removable Labels"/>
        <s v="Xerox 1908"/>
        <s v="Xerox 191"/>
        <s v="Bulldog Vacuum Base Pencil Sharpener"/>
        <s v="Xerox 1987"/>
        <s v="American Pencil"/>
        <s v="White Envelopes, White Envelopes with Clear Poly Window"/>
        <s v="Crate-A-Files"/>
        <s v="GBC VeloBinder Manual Binding System"/>
        <s v="Design Ebony Sketching Pencil"/>
        <s v="GBC ProClick 150 Presentation Binding System"/>
        <s v="Woodgrain Magazine Files by Perma"/>
        <s v="Letter Size Cart"/>
        <s v="Insertable Tab Post Binder Dividers"/>
        <s v="Xerox 1897"/>
        <s v="Fellowes Bankers Box Staxonsteel Drawer File/Stacking System"/>
        <s v="Eldon Mobile Mega Data Cart  Mega Stackable  Add-On Trays"/>
        <s v="Xerox Color Copier Paper, 11&quot; x 17&quot;, Ream"/>
        <s v="Avery 520"/>
        <s v="Newell 345"/>
        <s v="Fellowes Bankers Box Recycled Super Stor/Drawer"/>
        <s v="Boston 1645 Deluxe Heavier-Duty Electric Pencil Sharpener"/>
        <s v="50 Colored Long Pencils"/>
        <s v="Newell 342"/>
        <s v="Deluxe Rollaway Locking File with Drawer"/>
        <s v="3M Office Air Cleaner"/>
        <s v="Acco D-Ring Binder w/DublLock"/>
        <s v="Poly Designer Cover &amp; Back"/>
        <s v="Premier Electric Letter Opener"/>
        <s v="Fellowes Premier Superior Surge Suppressor, 10-Outlet, With Phone and Remote"/>
        <s v="Cardinal Hold-It CD Pocket"/>
        <s v="Eaton Premium Continuous-Feed Paper, 25% Cotton, Letter Size, White, 1000 Shts/Box"/>
        <s v="SAFCO Boltless Steel Shelving"/>
        <s v="Decoflex Hanging Personal Folder File, Blue"/>
        <s v="Recycled Desk Saver Line &quot;While You Were Out&quot; Book, 5 1/2&quot; X 4&quot;"/>
        <s v="Xerox 1912"/>
        <s v="Prang Colored Pencils"/>
        <s v="Fellowes Strictly Business Drawer File, Letter/Legal Size"/>
        <s v="Alphabetical Labels for Top Tab Filing"/>
        <s v="Fellowes Officeware Wire Shelving"/>
        <s v="Colored Envelopes"/>
        <s v="Strathmore #10 Envelopes, Ultimate White"/>
        <s v="Clear Mylar Reinforcing Strips"/>
        <s v="Vinyl Sectional Post Binders"/>
        <s v="GBC Standard Therm-A-Bind Covers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Newell 327"/>
        <s v="Newell 317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Eldon Gobal File Keepers"/>
        <s v="Martin Yale Chadless Opener Electric Letter Opener"/>
        <s v="White Business Envelopes with Contemporary Seam, Recycled White Business Envelopes"/>
        <s v="Sterilite Officeware Hinged File Box"/>
        <s v="Premier Elliptical Ring Binder, Black"/>
        <s v="Cardinal Poly Pocket Divider Pockets for Ring Binders"/>
        <s v="Eureka The Boss Cordless Rechargeable Stick Vac"/>
        <s v="Avery Printable Repositionable Plastic Tabs"/>
        <s v="Xerox 1898"/>
        <s v="Advantus T-Pin Paper Clips"/>
        <s v="Tennsco 16-Compartment Lockers with Coat Rack"/>
        <s v="Zebra Zazzle Fluorescent Highlighters"/>
        <s v="Avery 473"/>
        <s v="Xerox 226"/>
        <s v="GBC Prepunched Paper, 19-Hole, for Binding Systems, 24-lb"/>
        <s v="Sanitaire Vibra Groomer IR Commercial Upright Vacuum, Replacement Belts"/>
        <s v="Alliance Big Bands Rubber Bands, 12/Pack"/>
        <s v="Personal Creations Ink Jet Cards and Labels"/>
        <s v="GBC White Gloss Covers, Plain Front"/>
        <s v="Xerox 222"/>
        <s v="Newell 332"/>
        <s v="Rediform S.O.S. Phone Message Books"/>
        <s v="Acme Value Line Scissors"/>
        <s v="Martin-Yale Premier Letter Opener"/>
        <s v="Recycled Pressboard Report Cover with Reinforced Top Hinge"/>
        <s v="Dot Matrix Printer Tape Reel Labels, White, 5000/Box"/>
        <s v="Xerox 225"/>
        <s v="Xerox 1894"/>
        <s v="Newell 312"/>
        <s v="Fellowes Superior 10 Outlet Split Surge Protector"/>
        <s v="Acme Stainless Steel Office Snips"/>
        <s v="Hot File 7-Pocket, Floor Stand"/>
        <s v="Xerox 1889"/>
        <s v="Angle-D Ring Binders"/>
        <s v="Avery 493"/>
        <s v="Xerox 1972"/>
        <s v="Prestige Round Ring Binders"/>
        <s v="Recycled Easel Ring Binders"/>
        <s v="Cardinal Slant-D Ring Binder, Heavy Gauge Vinyl"/>
        <s v="Honeywell Enviracaire Portable HEPA Air Cleaner for up to 10 x 16 Room"/>
        <s v="Mini 13-1/2 Capacity Data Binder Rack, Pearl"/>
        <s v="Belkin Premiere Surge Master II 8-outlet surge protector"/>
        <s v="Acco Pressboard Covers with Storage Hooks, 9 1/2&quot; x 11&quot;, Executive Red"/>
        <s v="Tennsco Regal Shelving Units"/>
        <s v="Premium Transparent Presentation Covers by GBC"/>
        <s v="Tripp Lite TLP810NET Broadband Surge for Modem/Fax"/>
        <s v="Wilson Jones Turn Tabs Binder Tool for Ring Binders"/>
        <s v="Economy Rollaway Files"/>
        <s v="Avery 480"/>
        <s v="Xerox 1993"/>
        <s v="Eureka The Boss Plus 12-Amp Hard Box Upright Vacuum, Red"/>
        <s v="Belkin F9H710-06 7 Outlet SurgeMaster Surge Protector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Ibico Hi-Tech Manual Binding System"/>
        <s v="Avery Hanging File Binders"/>
        <s v="Fellowes Neat Ideas Storage Cubes"/>
        <s v="Avery 516"/>
        <s v="Recycled Eldon Regeneration Jumbo File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Xerox 220"/>
        <s v="Fellowes 8 Outlet Superior Workstation Surge Protector"/>
        <s v="#10- 4 1/8&quot; x 9 1/2&quot; Security-Tint Envelopes"/>
        <s v="Bionaire Personal Warm Mist Humidifier/Vaporizer"/>
        <s v="Cardinal Holdit Business Card Pockets"/>
        <s v="Tops Green Bar Computer Printout Paper"/>
        <s v="Recycled Data-Pak for Archival Bound Computer Printouts, 12-1/2 x 12-1/2 x 16"/>
        <s v="Acme Softgrip Scissors"/>
        <s v="Manila Recycled Extra-Heavyweight Clasp Envelopes, 6&quot; x 9&quot;"/>
        <s v="Xerox 1964"/>
        <s v="Personal Folder Holder, Ebony"/>
        <s v="Acco Translucent Poly Ring Binders"/>
        <s v="Avery 508"/>
        <s v="GBC Standard Plastic Binding Systems Combs"/>
        <s v="Xerox 196"/>
        <s v="Fiskars 8&quot; Scissors, 2/Pack"/>
        <s v="GBC Durable Plastic Covers"/>
        <s v="Avery Durable Binders"/>
        <s v="Avery 476"/>
        <s v="Brown Kraft Recycled Envelopes"/>
        <s v="3-ring staple pack"/>
        <s v="Fellowes Stor/Drawer Steel Plus Storage Drawers"/>
        <s v="Cardinal EasyOpen D-Ring Binders"/>
        <s v="GBC Instant Report Kit"/>
        <s v="Boston 19500 Mighty Mite Electric Pencil Sharpener"/>
        <s v="Dixon My First Ticonderoga Pencil, #2"/>
        <s v="Xerox 1927"/>
        <s v="Cameo Buff Policy Envelopes"/>
        <s v="Heavy-Duty E-Z-D Binders"/>
        <s v="Acco PRESSTEX Data Binder with Storage Hooks, Dark Blue, 9 1/2&quot; X 11&quot;"/>
        <s v="Avery 499"/>
        <s v="Xerox 1887"/>
        <s v="Smead Alpha-Z Color-Coded Second Alphabetical Labels and Starter Set"/>
      </sharedItems>
    </cacheField>
    <cacheField name="Sales" numFmtId="0">
      <sharedItems containsSemiMixedTypes="0" containsString="0" containsNumber="1" minValue="1.2479999999999998" maxValue="6354.95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Revenue" numFmtId="0">
      <sharedItems containsSemiMixedTypes="0" containsString="0" containsNumber="1" minValue="0.64959999999999951" maxValue="31774.75"/>
    </cacheField>
    <cacheField name="Profit" numFmtId="0">
      <sharedItems containsSemiMixedTypes="0" containsString="0" containsNumber="1" minValue="-453.84900000000005" maxValue="3177.4749999999999"/>
    </cacheField>
    <cacheField name="Months (Order Date)" numFmtId="0" databaseField="0">
      <fieldGroup base="2">
        <rangePr groupBy="months" startDate="2018-01-04T00:00:00" endDate="2021-12-31T00:00:00"/>
        <groupItems count="14">
          <s v="&lt;1/4/20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1"/>
        </groupItems>
      </fieldGroup>
    </cacheField>
    <cacheField name="Quarters (Order Date)" numFmtId="0" databaseField="0">
      <fieldGroup base="2">
        <rangePr groupBy="quarters" startDate="2018-01-04T00:00:00" endDate="2021-12-31T00:00:00"/>
        <groupItems count="6">
          <s v="&lt;1/4/2018"/>
          <s v="Qtr1"/>
          <s v="Qtr2"/>
          <s v="Qtr3"/>
          <s v="Qtr4"/>
          <s v="&gt;12/31/2021"/>
        </groupItems>
      </fieldGroup>
    </cacheField>
    <cacheField name="Years (Order Date)" numFmtId="0" databaseField="0">
      <fieldGroup base="2">
        <rangePr groupBy="years" startDate="2018-01-04T00:00:00" endDate="2021-12-31T00:00:00"/>
        <groupItems count="6">
          <s v="&lt;1/4/2018"/>
          <s v="2018"/>
          <s v="2019"/>
          <s v="2020"/>
          <s v="2021"/>
          <s v="&gt;12/31/20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7">
  <r>
    <n v="3"/>
    <x v="0"/>
    <x v="0"/>
    <d v="2020-06-16T00:00:00"/>
    <x v="0"/>
    <x v="0"/>
    <x v="0"/>
    <x v="0"/>
    <x v="0"/>
    <x v="0"/>
    <x v="0"/>
    <n v="90036"/>
    <s v="West"/>
    <x v="0"/>
    <x v="0"/>
    <x v="0"/>
    <x v="0"/>
    <n v="14.62"/>
    <n v="2"/>
    <n v="0"/>
    <n v="29.24"/>
    <n v="6.8713999999999995"/>
  </r>
  <r>
    <n v="5"/>
    <x v="1"/>
    <x v="1"/>
    <d v="2019-10-18T00:00:00"/>
    <x v="1"/>
    <x v="1"/>
    <x v="1"/>
    <x v="1"/>
    <x v="0"/>
    <x v="1"/>
    <x v="1"/>
    <n v="33311"/>
    <s v="South"/>
    <x v="1"/>
    <x v="0"/>
    <x v="1"/>
    <x v="1"/>
    <n v="22.368000000000002"/>
    <n v="2"/>
    <n v="0.2"/>
    <n v="35.788800000000002"/>
    <n v="2.5163999999999991"/>
  </r>
  <r>
    <n v="7"/>
    <x v="2"/>
    <x v="2"/>
    <d v="2018-06-14T00:00:00"/>
    <x v="1"/>
    <x v="2"/>
    <x v="2"/>
    <x v="1"/>
    <x v="0"/>
    <x v="0"/>
    <x v="0"/>
    <n v="90032"/>
    <s v="West"/>
    <x v="2"/>
    <x v="0"/>
    <x v="2"/>
    <x v="2"/>
    <n v="7.28"/>
    <n v="4"/>
    <n v="0"/>
    <n v="29.12"/>
    <n v="1.9656000000000002"/>
  </r>
  <r>
    <n v="9"/>
    <x v="2"/>
    <x v="2"/>
    <d v="2018-06-14T00:00:00"/>
    <x v="1"/>
    <x v="2"/>
    <x v="2"/>
    <x v="1"/>
    <x v="0"/>
    <x v="0"/>
    <x v="0"/>
    <n v="90032"/>
    <s v="West"/>
    <x v="3"/>
    <x v="0"/>
    <x v="3"/>
    <x v="3"/>
    <n v="18.504000000000001"/>
    <n v="3"/>
    <n v="0.2"/>
    <n v="44.409599999999998"/>
    <n v="5.7824999999999998"/>
  </r>
  <r>
    <n v="10"/>
    <x v="2"/>
    <x v="2"/>
    <d v="2018-06-14T00:00:00"/>
    <x v="1"/>
    <x v="2"/>
    <x v="2"/>
    <x v="1"/>
    <x v="0"/>
    <x v="0"/>
    <x v="0"/>
    <n v="90032"/>
    <s v="West"/>
    <x v="4"/>
    <x v="0"/>
    <x v="4"/>
    <x v="4"/>
    <n v="114.9"/>
    <n v="5"/>
    <n v="0"/>
    <n v="574.5"/>
    <n v="34.469999999999992"/>
  </r>
  <r>
    <n v="13"/>
    <x v="3"/>
    <x v="3"/>
    <d v="2021-04-20T00:00:00"/>
    <x v="1"/>
    <x v="3"/>
    <x v="3"/>
    <x v="1"/>
    <x v="0"/>
    <x v="2"/>
    <x v="2"/>
    <n v="28027"/>
    <s v="South"/>
    <x v="5"/>
    <x v="0"/>
    <x v="5"/>
    <x v="5"/>
    <n v="15.552000000000003"/>
    <n v="3"/>
    <n v="0.2"/>
    <n v="37.324800000000003"/>
    <n v="5.4432"/>
  </r>
  <r>
    <n v="14"/>
    <x v="4"/>
    <x v="4"/>
    <d v="2020-12-10T00:00:00"/>
    <x v="1"/>
    <x v="4"/>
    <x v="4"/>
    <x v="1"/>
    <x v="0"/>
    <x v="3"/>
    <x v="3"/>
    <n v="98103"/>
    <s v="West"/>
    <x v="6"/>
    <x v="0"/>
    <x v="3"/>
    <x v="6"/>
    <n v="407.97600000000006"/>
    <n v="3"/>
    <n v="0.2"/>
    <n v="979.14240000000007"/>
    <n v="132.59219999999993"/>
  </r>
  <r>
    <n v="15"/>
    <x v="5"/>
    <x v="5"/>
    <d v="2019-11-26T00:00:00"/>
    <x v="1"/>
    <x v="5"/>
    <x v="5"/>
    <x v="2"/>
    <x v="0"/>
    <x v="4"/>
    <x v="4"/>
    <n v="76106"/>
    <s v="Central"/>
    <x v="7"/>
    <x v="0"/>
    <x v="4"/>
    <x v="7"/>
    <n v="68.809999999999988"/>
    <n v="5"/>
    <n v="0.8"/>
    <n v="68.81"/>
    <n v="-123.858"/>
  </r>
  <r>
    <n v="16"/>
    <x v="5"/>
    <x v="5"/>
    <d v="2019-11-26T00:00:00"/>
    <x v="1"/>
    <x v="5"/>
    <x v="5"/>
    <x v="2"/>
    <x v="0"/>
    <x v="4"/>
    <x v="4"/>
    <n v="76106"/>
    <s v="Central"/>
    <x v="8"/>
    <x v="0"/>
    <x v="3"/>
    <x v="8"/>
    <n v="2.5439999999999996"/>
    <n v="3"/>
    <n v="0.8"/>
    <n v="1.5263999999999998"/>
    <n v="-3.8160000000000016"/>
  </r>
  <r>
    <n v="17"/>
    <x v="6"/>
    <x v="6"/>
    <d v="2018-11-18T00:00:00"/>
    <x v="1"/>
    <x v="6"/>
    <x v="6"/>
    <x v="1"/>
    <x v="0"/>
    <x v="5"/>
    <x v="5"/>
    <n v="53711"/>
    <s v="Central"/>
    <x v="9"/>
    <x v="0"/>
    <x v="1"/>
    <x v="9"/>
    <n v="665.88"/>
    <n v="6"/>
    <n v="0"/>
    <n v="3995.2799999999997"/>
    <n v="13.317599999999999"/>
  </r>
  <r>
    <n v="18"/>
    <x v="7"/>
    <x v="7"/>
    <d v="2018-05-15T00:00:00"/>
    <x v="0"/>
    <x v="7"/>
    <x v="7"/>
    <x v="1"/>
    <x v="0"/>
    <x v="6"/>
    <x v="6"/>
    <n v="84084"/>
    <s v="West"/>
    <x v="10"/>
    <x v="0"/>
    <x v="1"/>
    <x v="10"/>
    <n v="55.5"/>
    <n v="2"/>
    <n v="0"/>
    <n v="111"/>
    <n v="9.9899999999999949"/>
  </r>
  <r>
    <n v="19"/>
    <x v="8"/>
    <x v="8"/>
    <d v="2018-09-01T00:00:00"/>
    <x v="0"/>
    <x v="8"/>
    <x v="8"/>
    <x v="1"/>
    <x v="0"/>
    <x v="7"/>
    <x v="0"/>
    <n v="94109"/>
    <s v="West"/>
    <x v="11"/>
    <x v="0"/>
    <x v="2"/>
    <x v="11"/>
    <n v="8.56"/>
    <n v="2"/>
    <n v="0"/>
    <n v="17.12"/>
    <n v="2.4823999999999993"/>
  </r>
  <r>
    <n v="21"/>
    <x v="8"/>
    <x v="8"/>
    <d v="2018-09-01T00:00:00"/>
    <x v="0"/>
    <x v="8"/>
    <x v="8"/>
    <x v="1"/>
    <x v="0"/>
    <x v="7"/>
    <x v="0"/>
    <n v="94109"/>
    <s v="West"/>
    <x v="12"/>
    <x v="0"/>
    <x v="3"/>
    <x v="12"/>
    <n v="22.72"/>
    <n v="4"/>
    <n v="0.2"/>
    <n v="72.703999999999994"/>
    <n v="7.3839999999999986"/>
  </r>
  <r>
    <n v="22"/>
    <x v="9"/>
    <x v="9"/>
    <d v="2020-12-13T00:00:00"/>
    <x v="1"/>
    <x v="9"/>
    <x v="9"/>
    <x v="0"/>
    <x v="0"/>
    <x v="8"/>
    <x v="7"/>
    <n v="68025"/>
    <s v="Central"/>
    <x v="13"/>
    <x v="0"/>
    <x v="2"/>
    <x v="13"/>
    <n v="19.459999999999997"/>
    <n v="7"/>
    <n v="0"/>
    <n v="136.21999999999997"/>
    <n v="5.0595999999999997"/>
  </r>
  <r>
    <n v="23"/>
    <x v="9"/>
    <x v="9"/>
    <d v="2020-12-13T00:00:00"/>
    <x v="1"/>
    <x v="9"/>
    <x v="9"/>
    <x v="0"/>
    <x v="0"/>
    <x v="8"/>
    <x v="7"/>
    <n v="68025"/>
    <s v="Central"/>
    <x v="14"/>
    <x v="0"/>
    <x v="4"/>
    <x v="14"/>
    <n v="60.339999999999996"/>
    <n v="7"/>
    <n v="0"/>
    <n v="422.38"/>
    <n v="15.688400000000001"/>
  </r>
  <r>
    <n v="26"/>
    <x v="10"/>
    <x v="10"/>
    <d v="2020-01-20T00:00:00"/>
    <x v="0"/>
    <x v="10"/>
    <x v="10"/>
    <x v="1"/>
    <x v="0"/>
    <x v="0"/>
    <x v="0"/>
    <n v="90049"/>
    <s v="West"/>
    <x v="15"/>
    <x v="0"/>
    <x v="3"/>
    <x v="15"/>
    <n v="11.648000000000001"/>
    <n v="2"/>
    <n v="0.2"/>
    <n v="18.636800000000001"/>
    <n v="4.2224000000000004"/>
  </r>
  <r>
    <n v="29"/>
    <x v="11"/>
    <x v="11"/>
    <d v="2019-09-21T00:00:00"/>
    <x v="1"/>
    <x v="11"/>
    <x v="11"/>
    <x v="1"/>
    <x v="0"/>
    <x v="9"/>
    <x v="8"/>
    <n v="19140"/>
    <s v="East"/>
    <x v="16"/>
    <x v="0"/>
    <x v="3"/>
    <x v="16"/>
    <n v="9.6180000000000021"/>
    <n v="2"/>
    <n v="0.7"/>
    <n v="5.7708000000000013"/>
    <n v="-7.0532000000000004"/>
  </r>
  <r>
    <n v="31"/>
    <x v="11"/>
    <x v="11"/>
    <d v="2019-09-21T00:00:00"/>
    <x v="1"/>
    <x v="11"/>
    <x v="11"/>
    <x v="1"/>
    <x v="0"/>
    <x v="9"/>
    <x v="8"/>
    <n v="19140"/>
    <s v="East"/>
    <x v="17"/>
    <x v="0"/>
    <x v="6"/>
    <x v="17"/>
    <n v="3.2640000000000002"/>
    <n v="2"/>
    <n v="0.2"/>
    <n v="5.2224000000000004"/>
    <n v="1.1015999999999997"/>
  </r>
  <r>
    <n v="32"/>
    <x v="11"/>
    <x v="11"/>
    <d v="2019-09-21T00:00:00"/>
    <x v="1"/>
    <x v="11"/>
    <x v="11"/>
    <x v="1"/>
    <x v="0"/>
    <x v="9"/>
    <x v="8"/>
    <n v="19140"/>
    <s v="East"/>
    <x v="18"/>
    <x v="0"/>
    <x v="2"/>
    <x v="18"/>
    <n v="86.304000000000002"/>
    <n v="6"/>
    <n v="0.2"/>
    <n v="414.25920000000008"/>
    <n v="9.7091999999999885"/>
  </r>
  <r>
    <n v="33"/>
    <x v="11"/>
    <x v="11"/>
    <d v="2019-09-21T00:00:00"/>
    <x v="1"/>
    <x v="11"/>
    <x v="11"/>
    <x v="1"/>
    <x v="0"/>
    <x v="9"/>
    <x v="8"/>
    <n v="19140"/>
    <s v="East"/>
    <x v="19"/>
    <x v="0"/>
    <x v="3"/>
    <x v="19"/>
    <n v="6.8580000000000014"/>
    <n v="6"/>
    <n v="0.7"/>
    <n v="12.344400000000004"/>
    <n v="-5.7149999999999999"/>
  </r>
  <r>
    <n v="34"/>
    <x v="11"/>
    <x v="11"/>
    <d v="2019-09-21T00:00:00"/>
    <x v="1"/>
    <x v="11"/>
    <x v="11"/>
    <x v="1"/>
    <x v="0"/>
    <x v="9"/>
    <x v="8"/>
    <n v="19140"/>
    <s v="East"/>
    <x v="20"/>
    <x v="0"/>
    <x v="2"/>
    <x v="20"/>
    <n v="15.76"/>
    <n v="2"/>
    <n v="0.2"/>
    <n v="25.216000000000001"/>
    <n v="3.5460000000000007"/>
  </r>
  <r>
    <n v="35"/>
    <x v="12"/>
    <x v="12"/>
    <d v="2021-10-23T00:00:00"/>
    <x v="0"/>
    <x v="12"/>
    <x v="12"/>
    <x v="2"/>
    <x v="0"/>
    <x v="10"/>
    <x v="4"/>
    <n v="77095"/>
    <s v="Central"/>
    <x v="21"/>
    <x v="0"/>
    <x v="5"/>
    <x v="21"/>
    <n v="29.472000000000001"/>
    <n v="3"/>
    <n v="0.2"/>
    <n v="70.732799999999997"/>
    <n v="9.9467999999999979"/>
  </r>
  <r>
    <n v="38"/>
    <x v="13"/>
    <x v="13"/>
    <d v="2019-12-31T00:00:00"/>
    <x v="1"/>
    <x v="13"/>
    <x v="13"/>
    <x v="2"/>
    <x v="0"/>
    <x v="10"/>
    <x v="4"/>
    <n v="77041"/>
    <s v="Central"/>
    <x v="22"/>
    <x v="0"/>
    <x v="6"/>
    <x v="22"/>
    <n v="113.328"/>
    <n v="9"/>
    <n v="0.2"/>
    <n v="815.96159999999998"/>
    <n v="35.414999999999999"/>
  </r>
  <r>
    <n v="43"/>
    <x v="14"/>
    <x v="14"/>
    <d v="2020-07-22T00:00:00"/>
    <x v="1"/>
    <x v="14"/>
    <x v="14"/>
    <x v="0"/>
    <x v="0"/>
    <x v="0"/>
    <x v="0"/>
    <n v="90049"/>
    <s v="West"/>
    <x v="23"/>
    <x v="0"/>
    <x v="1"/>
    <x v="23"/>
    <n v="77.88"/>
    <n v="2"/>
    <n v="0"/>
    <n v="155.76"/>
    <n v="3.8939999999999912"/>
  </r>
  <r>
    <n v="44"/>
    <x v="15"/>
    <x v="15"/>
    <d v="2021-09-23T00:00:00"/>
    <x v="1"/>
    <x v="15"/>
    <x v="15"/>
    <x v="0"/>
    <x v="0"/>
    <x v="11"/>
    <x v="1"/>
    <n v="32935"/>
    <s v="South"/>
    <x v="24"/>
    <x v="0"/>
    <x v="1"/>
    <x v="24"/>
    <n v="95.616"/>
    <n v="2"/>
    <n v="0.2"/>
    <n v="152.98560000000001"/>
    <n v="9.5616000000000092"/>
  </r>
  <r>
    <n v="46"/>
    <x v="16"/>
    <x v="16"/>
    <d v="2020-03-13T00:00:00"/>
    <x v="2"/>
    <x v="16"/>
    <x v="16"/>
    <x v="0"/>
    <x v="0"/>
    <x v="12"/>
    <x v="9"/>
    <n v="55122"/>
    <s v="Central"/>
    <x v="25"/>
    <x v="0"/>
    <x v="3"/>
    <x v="25"/>
    <n v="17.46"/>
    <n v="2"/>
    <n v="0"/>
    <n v="34.92"/>
    <n v="8.2061999999999991"/>
  </r>
  <r>
    <n v="47"/>
    <x v="17"/>
    <x v="17"/>
    <d v="2018-10-25T00:00:00"/>
    <x v="0"/>
    <x v="17"/>
    <x v="17"/>
    <x v="1"/>
    <x v="0"/>
    <x v="13"/>
    <x v="10"/>
    <n v="48185"/>
    <s v="Central"/>
    <x v="26"/>
    <x v="0"/>
    <x v="1"/>
    <x v="26"/>
    <n v="211.96"/>
    <n v="4"/>
    <n v="0"/>
    <n v="847.84"/>
    <n v="8.4783999999999935"/>
  </r>
  <r>
    <n v="50"/>
    <x v="18"/>
    <x v="18"/>
    <d v="2019-04-22T00:00:00"/>
    <x v="1"/>
    <x v="18"/>
    <x v="18"/>
    <x v="1"/>
    <x v="0"/>
    <x v="14"/>
    <x v="11"/>
    <n v="47150"/>
    <s v="Central"/>
    <x v="27"/>
    <x v="0"/>
    <x v="3"/>
    <x v="27"/>
    <n v="38.22"/>
    <n v="6"/>
    <n v="0"/>
    <n v="229.32"/>
    <n v="17.9634"/>
  </r>
  <r>
    <n v="51"/>
    <x v="18"/>
    <x v="18"/>
    <d v="2019-04-22T00:00:00"/>
    <x v="1"/>
    <x v="18"/>
    <x v="18"/>
    <x v="1"/>
    <x v="0"/>
    <x v="14"/>
    <x v="11"/>
    <n v="47150"/>
    <s v="Central"/>
    <x v="28"/>
    <x v="0"/>
    <x v="0"/>
    <x v="28"/>
    <n v="75.179999999999993"/>
    <n v="6"/>
    <n v="0"/>
    <n v="451.07999999999993"/>
    <n v="35.334599999999995"/>
  </r>
  <r>
    <n v="54"/>
    <x v="19"/>
    <x v="19"/>
    <d v="2020-12-17T00:00:00"/>
    <x v="1"/>
    <x v="19"/>
    <x v="19"/>
    <x v="0"/>
    <x v="0"/>
    <x v="15"/>
    <x v="12"/>
    <n v="10024"/>
    <s v="East"/>
    <x v="29"/>
    <x v="0"/>
    <x v="7"/>
    <x v="29"/>
    <n v="15.260000000000002"/>
    <n v="7"/>
    <n v="0"/>
    <n v="106.82000000000001"/>
    <n v="6.2566000000000006"/>
  </r>
  <r>
    <n v="56"/>
    <x v="20"/>
    <x v="20"/>
    <d v="2020-06-18T00:00:00"/>
    <x v="2"/>
    <x v="20"/>
    <x v="20"/>
    <x v="1"/>
    <x v="0"/>
    <x v="16"/>
    <x v="12"/>
    <n v="12180"/>
    <s v="East"/>
    <x v="30"/>
    <x v="0"/>
    <x v="1"/>
    <x v="30"/>
    <n v="208.56"/>
    <n v="6"/>
    <n v="0"/>
    <n v="1251.3600000000001"/>
    <n v="52.139999999999986"/>
  </r>
  <r>
    <n v="57"/>
    <x v="20"/>
    <x v="20"/>
    <d v="2020-06-18T00:00:00"/>
    <x v="2"/>
    <x v="20"/>
    <x v="20"/>
    <x v="1"/>
    <x v="0"/>
    <x v="16"/>
    <x v="12"/>
    <n v="12180"/>
    <s v="East"/>
    <x v="31"/>
    <x v="0"/>
    <x v="5"/>
    <x v="31"/>
    <n v="32.400000000000006"/>
    <n v="5"/>
    <n v="0"/>
    <n v="162.00000000000003"/>
    <n v="15.552000000000001"/>
  </r>
  <r>
    <n v="59"/>
    <x v="20"/>
    <x v="20"/>
    <d v="2020-06-18T00:00:00"/>
    <x v="2"/>
    <x v="20"/>
    <x v="20"/>
    <x v="1"/>
    <x v="0"/>
    <x v="16"/>
    <x v="12"/>
    <n v="12180"/>
    <s v="East"/>
    <x v="32"/>
    <x v="0"/>
    <x v="5"/>
    <x v="32"/>
    <n v="14.56"/>
    <n v="2"/>
    <n v="0"/>
    <n v="29.12"/>
    <n v="6.9888000000000003"/>
  </r>
  <r>
    <n v="61"/>
    <x v="20"/>
    <x v="20"/>
    <d v="2020-06-18T00:00:00"/>
    <x v="2"/>
    <x v="20"/>
    <x v="20"/>
    <x v="1"/>
    <x v="0"/>
    <x v="16"/>
    <x v="12"/>
    <n v="12180"/>
    <s v="East"/>
    <x v="33"/>
    <x v="0"/>
    <x v="3"/>
    <x v="33"/>
    <n v="48.480000000000004"/>
    <n v="4"/>
    <n v="0.2"/>
    <n v="155.13600000000002"/>
    <n v="16.361999999999998"/>
  </r>
  <r>
    <n v="62"/>
    <x v="20"/>
    <x v="20"/>
    <d v="2020-06-18T00:00:00"/>
    <x v="2"/>
    <x v="20"/>
    <x v="20"/>
    <x v="1"/>
    <x v="0"/>
    <x v="16"/>
    <x v="12"/>
    <n v="12180"/>
    <s v="East"/>
    <x v="34"/>
    <x v="0"/>
    <x v="2"/>
    <x v="34"/>
    <n v="1.68"/>
    <n v="1"/>
    <n v="0"/>
    <n v="1.68"/>
    <n v="0.84"/>
  </r>
  <r>
    <n v="64"/>
    <x v="21"/>
    <x v="21"/>
    <d v="2019-11-30T00:00:00"/>
    <x v="1"/>
    <x v="21"/>
    <x v="21"/>
    <x v="1"/>
    <x v="0"/>
    <x v="0"/>
    <x v="0"/>
    <n v="90004"/>
    <s v="West"/>
    <x v="35"/>
    <x v="0"/>
    <x v="3"/>
    <x v="35"/>
    <n v="25.824000000000002"/>
    <n v="6"/>
    <n v="0.2"/>
    <n v="123.95520000000002"/>
    <n v="9.3612000000000002"/>
  </r>
  <r>
    <n v="65"/>
    <x v="21"/>
    <x v="21"/>
    <d v="2019-11-30T00:00:00"/>
    <x v="1"/>
    <x v="21"/>
    <x v="21"/>
    <x v="1"/>
    <x v="0"/>
    <x v="0"/>
    <x v="0"/>
    <n v="90004"/>
    <s v="West"/>
    <x v="36"/>
    <x v="0"/>
    <x v="5"/>
    <x v="36"/>
    <n v="146.72999999999999"/>
    <n v="3"/>
    <n v="0"/>
    <n v="440.18999999999994"/>
    <n v="68.963099999999997"/>
  </r>
  <r>
    <n v="68"/>
    <x v="22"/>
    <x v="22"/>
    <d v="2018-12-10T00:00:00"/>
    <x v="1"/>
    <x v="22"/>
    <x v="22"/>
    <x v="0"/>
    <x v="0"/>
    <x v="17"/>
    <x v="13"/>
    <n v="85234"/>
    <s v="West"/>
    <x v="37"/>
    <x v="0"/>
    <x v="2"/>
    <x v="37"/>
    <n v="1113.0240000000001"/>
    <n v="8"/>
    <n v="0.2"/>
    <n v="7123.3536000000004"/>
    <n v="111.30239999999998"/>
  </r>
  <r>
    <n v="70"/>
    <x v="23"/>
    <x v="23"/>
    <d v="2020-06-06T00:00:00"/>
    <x v="2"/>
    <x v="23"/>
    <x v="23"/>
    <x v="1"/>
    <x v="0"/>
    <x v="18"/>
    <x v="14"/>
    <n v="22153"/>
    <s v="South"/>
    <x v="38"/>
    <x v="0"/>
    <x v="5"/>
    <x v="38"/>
    <n v="75.88"/>
    <n v="2"/>
    <n v="0"/>
    <n v="151.76"/>
    <n v="35.663599999999995"/>
  </r>
  <r>
    <n v="71"/>
    <x v="24"/>
    <x v="24"/>
    <d v="2020-09-23T00:00:00"/>
    <x v="1"/>
    <x v="24"/>
    <x v="24"/>
    <x v="1"/>
    <x v="0"/>
    <x v="15"/>
    <x v="12"/>
    <n v="10009"/>
    <s v="East"/>
    <x v="39"/>
    <x v="0"/>
    <x v="3"/>
    <x v="39"/>
    <n v="4.6159999999999997"/>
    <n v="1"/>
    <n v="0.2"/>
    <n v="3.6927999999999996"/>
    <n v="1.7309999999999999"/>
  </r>
  <r>
    <n v="72"/>
    <x v="25"/>
    <x v="25"/>
    <d v="2021-09-17T00:00:00"/>
    <x v="0"/>
    <x v="11"/>
    <x v="11"/>
    <x v="1"/>
    <x v="0"/>
    <x v="19"/>
    <x v="10"/>
    <n v="49201"/>
    <s v="Central"/>
    <x v="40"/>
    <x v="0"/>
    <x v="5"/>
    <x v="40"/>
    <n v="19.049999999999997"/>
    <n v="3"/>
    <n v="0"/>
    <n v="57.149999999999991"/>
    <n v="8.7629999999999999"/>
  </r>
  <r>
    <n v="75"/>
    <x v="26"/>
    <x v="26"/>
    <d v="2019-05-02T00:00:00"/>
    <x v="1"/>
    <x v="25"/>
    <x v="25"/>
    <x v="1"/>
    <x v="0"/>
    <x v="20"/>
    <x v="15"/>
    <n v="38109"/>
    <s v="South"/>
    <x v="41"/>
    <x v="0"/>
    <x v="1"/>
    <x v="41"/>
    <n v="72.784000000000006"/>
    <n v="1"/>
    <n v="0.2"/>
    <n v="58.227200000000003"/>
    <n v="-18.196000000000002"/>
  </r>
  <r>
    <n v="76"/>
    <x v="27"/>
    <x v="27"/>
    <d v="2021-12-11T00:00:00"/>
    <x v="2"/>
    <x v="26"/>
    <x v="26"/>
    <x v="0"/>
    <x v="0"/>
    <x v="10"/>
    <x v="4"/>
    <n v="77041"/>
    <s v="Central"/>
    <x v="42"/>
    <x v="0"/>
    <x v="3"/>
    <x v="42"/>
    <n v="1.2479999999999998"/>
    <n v="3"/>
    <n v="0.8"/>
    <n v="0.74879999999999969"/>
    <n v="-1.9344000000000006"/>
  </r>
  <r>
    <n v="78"/>
    <x v="27"/>
    <x v="27"/>
    <d v="2021-12-11T00:00:00"/>
    <x v="2"/>
    <x v="26"/>
    <x v="26"/>
    <x v="0"/>
    <x v="0"/>
    <x v="10"/>
    <x v="4"/>
    <n v="77041"/>
    <s v="Central"/>
    <x v="43"/>
    <x v="0"/>
    <x v="1"/>
    <x v="43"/>
    <n v="27.240000000000002"/>
    <n v="3"/>
    <n v="0.2"/>
    <n v="65.376000000000005"/>
    <n v="2.724000000000002"/>
  </r>
  <r>
    <n v="80"/>
    <x v="28"/>
    <x v="0"/>
    <d v="2020-06-15T00:00:00"/>
    <x v="2"/>
    <x v="27"/>
    <x v="27"/>
    <x v="0"/>
    <x v="0"/>
    <x v="21"/>
    <x v="16"/>
    <n v="35601"/>
    <s v="South"/>
    <x v="44"/>
    <x v="0"/>
    <x v="4"/>
    <x v="44"/>
    <n v="208.16"/>
    <n v="1"/>
    <n v="0"/>
    <n v="208.16"/>
    <n v="56.20320000000001"/>
  </r>
  <r>
    <n v="81"/>
    <x v="28"/>
    <x v="0"/>
    <d v="2020-06-15T00:00:00"/>
    <x v="2"/>
    <x v="27"/>
    <x v="27"/>
    <x v="0"/>
    <x v="0"/>
    <x v="21"/>
    <x v="16"/>
    <n v="35601"/>
    <s v="South"/>
    <x v="45"/>
    <x v="0"/>
    <x v="3"/>
    <x v="45"/>
    <n v="16.740000000000002"/>
    <n v="3"/>
    <n v="0"/>
    <n v="50.220000000000006"/>
    <n v="8.0351999999999997"/>
  </r>
  <r>
    <n v="82"/>
    <x v="29"/>
    <x v="28"/>
    <d v="2018-10-16T00:00:00"/>
    <x v="1"/>
    <x v="28"/>
    <x v="28"/>
    <x v="1"/>
    <x v="0"/>
    <x v="7"/>
    <x v="0"/>
    <n v="94122"/>
    <s v="West"/>
    <x v="46"/>
    <x v="0"/>
    <x v="2"/>
    <x v="46"/>
    <n v="14.9"/>
    <n v="5"/>
    <n v="0"/>
    <n v="74.5"/>
    <n v="4.1720000000000006"/>
  </r>
  <r>
    <n v="83"/>
    <x v="29"/>
    <x v="28"/>
    <d v="2018-10-16T00:00:00"/>
    <x v="1"/>
    <x v="28"/>
    <x v="28"/>
    <x v="1"/>
    <x v="0"/>
    <x v="7"/>
    <x v="0"/>
    <n v="94122"/>
    <s v="West"/>
    <x v="47"/>
    <x v="0"/>
    <x v="1"/>
    <x v="47"/>
    <n v="21.39"/>
    <n v="1"/>
    <n v="0"/>
    <n v="21.39"/>
    <n v="6.2030999999999992"/>
  </r>
  <r>
    <n v="84"/>
    <x v="30"/>
    <x v="29"/>
    <d v="2019-09-08T00:00:00"/>
    <x v="1"/>
    <x v="29"/>
    <x v="29"/>
    <x v="0"/>
    <x v="0"/>
    <x v="22"/>
    <x v="2"/>
    <n v="27707"/>
    <s v="South"/>
    <x v="48"/>
    <x v="0"/>
    <x v="6"/>
    <x v="48"/>
    <n v="200.98400000000004"/>
    <n v="7"/>
    <n v="0.2"/>
    <n v="1125.5104000000003"/>
    <n v="62.807499999999976"/>
  </r>
  <r>
    <n v="85"/>
    <x v="31"/>
    <x v="30"/>
    <d v="2021-11-16T00:00:00"/>
    <x v="2"/>
    <x v="30"/>
    <x v="30"/>
    <x v="2"/>
    <x v="0"/>
    <x v="23"/>
    <x v="17"/>
    <n v="60623"/>
    <s v="Central"/>
    <x v="49"/>
    <x v="0"/>
    <x v="1"/>
    <x v="49"/>
    <n v="230.376"/>
    <n v="3"/>
    <n v="0.2"/>
    <n v="552.90240000000006"/>
    <n v="-48.954900000000002"/>
  </r>
  <r>
    <n v="88"/>
    <x v="32"/>
    <x v="31"/>
    <d v="2021-11-02T00:00:00"/>
    <x v="1"/>
    <x v="31"/>
    <x v="31"/>
    <x v="1"/>
    <x v="0"/>
    <x v="24"/>
    <x v="9"/>
    <n v="55901"/>
    <s v="Central"/>
    <x v="50"/>
    <x v="0"/>
    <x v="0"/>
    <x v="50"/>
    <n v="6.16"/>
    <n v="2"/>
    <n v="0"/>
    <n v="12.32"/>
    <n v="2.9567999999999999"/>
  </r>
  <r>
    <n v="89"/>
    <x v="33"/>
    <x v="32"/>
    <d v="2020-04-10T00:00:00"/>
    <x v="0"/>
    <x v="32"/>
    <x v="32"/>
    <x v="2"/>
    <x v="0"/>
    <x v="10"/>
    <x v="4"/>
    <n v="77095"/>
    <s v="Central"/>
    <x v="51"/>
    <x v="0"/>
    <x v="1"/>
    <x v="51"/>
    <n v="158.36800000000002"/>
    <n v="7"/>
    <n v="0.2"/>
    <n v="886.86080000000015"/>
    <n v="13.857199999999999"/>
  </r>
  <r>
    <n v="90"/>
    <x v="34"/>
    <x v="33"/>
    <d v="2020-09-22T00:00:00"/>
    <x v="1"/>
    <x v="33"/>
    <x v="33"/>
    <x v="0"/>
    <x v="0"/>
    <x v="0"/>
    <x v="0"/>
    <n v="90036"/>
    <s v="West"/>
    <x v="52"/>
    <x v="0"/>
    <x v="2"/>
    <x v="52"/>
    <n v="20.100000000000001"/>
    <n v="3"/>
    <n v="0"/>
    <n v="60.300000000000004"/>
    <n v="6.6329999999999982"/>
  </r>
  <r>
    <n v="92"/>
    <x v="34"/>
    <x v="33"/>
    <d v="2020-09-22T00:00:00"/>
    <x v="1"/>
    <x v="33"/>
    <x v="33"/>
    <x v="0"/>
    <x v="0"/>
    <x v="0"/>
    <x v="0"/>
    <n v="90036"/>
    <s v="West"/>
    <x v="53"/>
    <x v="0"/>
    <x v="5"/>
    <x v="53"/>
    <n v="6.48"/>
    <n v="1"/>
    <n v="0"/>
    <n v="6.48"/>
    <n v="3.1104000000000003"/>
  </r>
  <r>
    <n v="93"/>
    <x v="35"/>
    <x v="34"/>
    <d v="2019-02-05T00:00:00"/>
    <x v="0"/>
    <x v="34"/>
    <x v="34"/>
    <x v="1"/>
    <x v="0"/>
    <x v="25"/>
    <x v="9"/>
    <n v="55407"/>
    <s v="Central"/>
    <x v="54"/>
    <x v="0"/>
    <x v="5"/>
    <x v="54"/>
    <n v="12.96"/>
    <n v="2"/>
    <n v="0"/>
    <n v="25.92"/>
    <n v="6.2208000000000006"/>
  </r>
  <r>
    <n v="95"/>
    <x v="35"/>
    <x v="34"/>
    <d v="2019-02-05T00:00:00"/>
    <x v="0"/>
    <x v="34"/>
    <x v="34"/>
    <x v="1"/>
    <x v="0"/>
    <x v="25"/>
    <x v="9"/>
    <n v="55407"/>
    <s v="Central"/>
    <x v="55"/>
    <x v="0"/>
    <x v="3"/>
    <x v="55"/>
    <n v="32.96"/>
    <n v="2"/>
    <n v="0"/>
    <n v="65.92"/>
    <n v="16.150400000000001"/>
  </r>
  <r>
    <n v="96"/>
    <x v="36"/>
    <x v="35"/>
    <d v="2021-11-12T00:00:00"/>
    <x v="1"/>
    <x v="35"/>
    <x v="35"/>
    <x v="2"/>
    <x v="0"/>
    <x v="26"/>
    <x v="18"/>
    <n v="97206"/>
    <s v="West"/>
    <x v="56"/>
    <x v="0"/>
    <x v="3"/>
    <x v="56"/>
    <n v="5.6820000000000013"/>
    <n v="1"/>
    <n v="0.7"/>
    <n v="1.7046000000000006"/>
    <n v="-3.7880000000000003"/>
  </r>
  <r>
    <n v="98"/>
    <x v="37"/>
    <x v="36"/>
    <d v="2021-06-20T00:00:00"/>
    <x v="2"/>
    <x v="36"/>
    <x v="36"/>
    <x v="1"/>
    <x v="0"/>
    <x v="7"/>
    <x v="0"/>
    <n v="94122"/>
    <s v="West"/>
    <x v="57"/>
    <x v="0"/>
    <x v="3"/>
    <x v="57"/>
    <n v="51.311999999999998"/>
    <n v="3"/>
    <n v="0.2"/>
    <n v="123.14879999999998"/>
    <n v="17.959199999999999"/>
  </r>
  <r>
    <n v="99"/>
    <x v="38"/>
    <x v="37"/>
    <d v="2020-09-11T00:00:00"/>
    <x v="1"/>
    <x v="37"/>
    <x v="37"/>
    <x v="0"/>
    <x v="0"/>
    <x v="27"/>
    <x v="9"/>
    <n v="55106"/>
    <s v="Central"/>
    <x v="58"/>
    <x v="0"/>
    <x v="4"/>
    <x v="58"/>
    <n v="77.88"/>
    <n v="6"/>
    <n v="0"/>
    <n v="467.28"/>
    <n v="22.585199999999993"/>
  </r>
  <r>
    <n v="100"/>
    <x v="39"/>
    <x v="38"/>
    <d v="2020-09-02T00:00:00"/>
    <x v="1"/>
    <x v="38"/>
    <x v="38"/>
    <x v="2"/>
    <x v="0"/>
    <x v="23"/>
    <x v="17"/>
    <n v="60610"/>
    <s v="Central"/>
    <x v="59"/>
    <x v="0"/>
    <x v="5"/>
    <x v="59"/>
    <n v="64.623999999999995"/>
    <n v="7"/>
    <n v="0.2"/>
    <n v="361.89439999999996"/>
    <n v="22.618399999999994"/>
  </r>
  <r>
    <n v="102"/>
    <x v="39"/>
    <x v="38"/>
    <d v="2020-09-02T00:00:00"/>
    <x v="1"/>
    <x v="38"/>
    <x v="38"/>
    <x v="2"/>
    <x v="0"/>
    <x v="23"/>
    <x v="17"/>
    <n v="60610"/>
    <s v="Central"/>
    <x v="60"/>
    <x v="0"/>
    <x v="3"/>
    <x v="60"/>
    <n v="1.7879999999999996"/>
    <n v="3"/>
    <n v="0.8"/>
    <n v="1.0728"/>
    <n v="-3.0396000000000001"/>
  </r>
  <r>
    <n v="103"/>
    <x v="40"/>
    <x v="39"/>
    <d v="2020-12-04T00:00:00"/>
    <x v="0"/>
    <x v="39"/>
    <x v="39"/>
    <x v="1"/>
    <x v="0"/>
    <x v="24"/>
    <x v="9"/>
    <n v="55901"/>
    <s v="Central"/>
    <x v="61"/>
    <x v="0"/>
    <x v="5"/>
    <x v="61"/>
    <n v="23.92"/>
    <n v="4"/>
    <n v="0"/>
    <n v="95.68"/>
    <n v="11.720800000000001"/>
  </r>
  <r>
    <n v="106"/>
    <x v="41"/>
    <x v="40"/>
    <d v="2019-11-17T00:00:00"/>
    <x v="1"/>
    <x v="40"/>
    <x v="40"/>
    <x v="1"/>
    <x v="0"/>
    <x v="28"/>
    <x v="19"/>
    <n v="80013"/>
    <s v="West"/>
    <x v="62"/>
    <x v="0"/>
    <x v="3"/>
    <x v="62"/>
    <n v="36.882000000000005"/>
    <n v="3"/>
    <n v="0.7"/>
    <n v="33.19380000000001"/>
    <n v="-25.817399999999999"/>
  </r>
  <r>
    <n v="109"/>
    <x v="42"/>
    <x v="41"/>
    <d v="2021-11-28T00:00:00"/>
    <x v="1"/>
    <x v="41"/>
    <x v="41"/>
    <x v="1"/>
    <x v="0"/>
    <x v="29"/>
    <x v="2"/>
    <n v="28205"/>
    <s v="South"/>
    <x v="63"/>
    <x v="0"/>
    <x v="2"/>
    <x v="63"/>
    <n v="3.3040000000000003"/>
    <n v="1"/>
    <n v="0.2"/>
    <n v="2.6432000000000002"/>
    <n v="1.0737999999999999"/>
  </r>
  <r>
    <n v="112"/>
    <x v="43"/>
    <x v="42"/>
    <d v="2020-11-10T00:00:00"/>
    <x v="1"/>
    <x v="42"/>
    <x v="42"/>
    <x v="1"/>
    <x v="0"/>
    <x v="30"/>
    <x v="20"/>
    <n v="50322"/>
    <s v="Central"/>
    <x v="64"/>
    <x v="0"/>
    <x v="2"/>
    <x v="64"/>
    <n v="75.959999999999994"/>
    <n v="2"/>
    <n v="0"/>
    <n v="151.91999999999999"/>
    <n v="22.78799999999999"/>
  </r>
  <r>
    <n v="113"/>
    <x v="43"/>
    <x v="42"/>
    <d v="2020-11-10T00:00:00"/>
    <x v="1"/>
    <x v="42"/>
    <x v="42"/>
    <x v="1"/>
    <x v="0"/>
    <x v="30"/>
    <x v="20"/>
    <n v="50322"/>
    <s v="Central"/>
    <x v="65"/>
    <x v="0"/>
    <x v="3"/>
    <x v="65"/>
    <n v="27.240000000000002"/>
    <n v="6"/>
    <n v="0"/>
    <n v="163.44"/>
    <n v="13.3476"/>
  </r>
  <r>
    <n v="114"/>
    <x v="44"/>
    <x v="43"/>
    <d v="2018-08-27T00:00:00"/>
    <x v="0"/>
    <x v="43"/>
    <x v="43"/>
    <x v="1"/>
    <x v="0"/>
    <x v="31"/>
    <x v="21"/>
    <n v="43229"/>
    <s v="East"/>
    <x v="66"/>
    <x v="0"/>
    <x v="7"/>
    <x v="66"/>
    <n v="40.096000000000004"/>
    <n v="14"/>
    <n v="0.2"/>
    <n v="449.07520000000005"/>
    <n v="14.534799999999997"/>
  </r>
  <r>
    <n v="115"/>
    <x v="44"/>
    <x v="43"/>
    <d v="2018-08-27T00:00:00"/>
    <x v="0"/>
    <x v="43"/>
    <x v="43"/>
    <x v="1"/>
    <x v="0"/>
    <x v="31"/>
    <x v="21"/>
    <n v="43229"/>
    <s v="East"/>
    <x v="67"/>
    <x v="0"/>
    <x v="6"/>
    <x v="67"/>
    <n v="4.7200000000000006"/>
    <n v="2"/>
    <n v="0.2"/>
    <n v="7.5520000000000014"/>
    <n v="1.6519999999999997"/>
  </r>
  <r>
    <n v="116"/>
    <x v="44"/>
    <x v="43"/>
    <d v="2018-08-27T00:00:00"/>
    <x v="0"/>
    <x v="43"/>
    <x v="43"/>
    <x v="1"/>
    <x v="0"/>
    <x v="31"/>
    <x v="21"/>
    <n v="43229"/>
    <s v="East"/>
    <x v="68"/>
    <x v="0"/>
    <x v="5"/>
    <x v="68"/>
    <n v="23.976000000000003"/>
    <n v="3"/>
    <n v="0.2"/>
    <n v="57.542400000000008"/>
    <n v="7.4924999999999988"/>
  </r>
  <r>
    <n v="117"/>
    <x v="44"/>
    <x v="43"/>
    <d v="2018-08-27T00:00:00"/>
    <x v="0"/>
    <x v="43"/>
    <x v="43"/>
    <x v="1"/>
    <x v="0"/>
    <x v="31"/>
    <x v="21"/>
    <n v="43229"/>
    <s v="East"/>
    <x v="69"/>
    <x v="0"/>
    <x v="6"/>
    <x v="69"/>
    <n v="130.464"/>
    <n v="6"/>
    <n v="0.2"/>
    <n v="626.22720000000004"/>
    <n v="44.031599999999997"/>
  </r>
  <r>
    <n v="119"/>
    <x v="45"/>
    <x v="44"/>
    <d v="2019-04-10T00:00:00"/>
    <x v="1"/>
    <x v="44"/>
    <x v="44"/>
    <x v="0"/>
    <x v="0"/>
    <x v="32"/>
    <x v="15"/>
    <n v="37620"/>
    <s v="South"/>
    <x v="70"/>
    <x v="0"/>
    <x v="3"/>
    <x v="70"/>
    <n v="157.79400000000004"/>
    <n v="1"/>
    <n v="0.7"/>
    <n v="47.338200000000015"/>
    <n v="-115.71559999999999"/>
  </r>
  <r>
    <n v="121"/>
    <x v="46"/>
    <x v="0"/>
    <d v="2020-06-15T00:00:00"/>
    <x v="2"/>
    <x v="45"/>
    <x v="45"/>
    <x v="1"/>
    <x v="0"/>
    <x v="33"/>
    <x v="22"/>
    <n v="19805"/>
    <s v="East"/>
    <x v="3"/>
    <x v="0"/>
    <x v="3"/>
    <x v="3"/>
    <n v="30.84"/>
    <n v="4"/>
    <n v="0"/>
    <n v="123.36"/>
    <n v="13.878"/>
  </r>
  <r>
    <n v="122"/>
    <x v="46"/>
    <x v="0"/>
    <d v="2020-06-15T00:00:00"/>
    <x v="2"/>
    <x v="45"/>
    <x v="45"/>
    <x v="1"/>
    <x v="0"/>
    <x v="33"/>
    <x v="22"/>
    <n v="19805"/>
    <s v="East"/>
    <x v="71"/>
    <x v="0"/>
    <x v="1"/>
    <x v="71"/>
    <n v="226.56"/>
    <n v="6"/>
    <n v="0"/>
    <n v="1359.3600000000001"/>
    <n v="63.436800000000005"/>
  </r>
  <r>
    <n v="123"/>
    <x v="46"/>
    <x v="0"/>
    <d v="2020-06-15T00:00:00"/>
    <x v="2"/>
    <x v="45"/>
    <x v="45"/>
    <x v="1"/>
    <x v="0"/>
    <x v="33"/>
    <x v="22"/>
    <n v="19805"/>
    <s v="East"/>
    <x v="72"/>
    <x v="0"/>
    <x v="6"/>
    <x v="72"/>
    <n v="115.02"/>
    <n v="9"/>
    <n v="0"/>
    <n v="1035.18"/>
    <n v="51.758999999999993"/>
  </r>
  <r>
    <n v="127"/>
    <x v="47"/>
    <x v="45"/>
    <d v="2021-11-12T00:00:00"/>
    <x v="1"/>
    <x v="46"/>
    <x v="46"/>
    <x v="1"/>
    <x v="0"/>
    <x v="34"/>
    <x v="13"/>
    <n v="85023"/>
    <s v="West"/>
    <x v="73"/>
    <x v="0"/>
    <x v="3"/>
    <x v="73"/>
    <n v="2.3880000000000003"/>
    <n v="2"/>
    <n v="0.7"/>
    <n v="1.4328000000000003"/>
    <n v="-1.8308"/>
  </r>
  <r>
    <n v="128"/>
    <x v="47"/>
    <x v="45"/>
    <d v="2021-11-12T00:00:00"/>
    <x v="1"/>
    <x v="46"/>
    <x v="46"/>
    <x v="1"/>
    <x v="0"/>
    <x v="34"/>
    <x v="13"/>
    <n v="85023"/>
    <s v="West"/>
    <x v="74"/>
    <x v="0"/>
    <x v="1"/>
    <x v="74"/>
    <n v="243.99200000000002"/>
    <n v="7"/>
    <n v="0.2"/>
    <n v="1366.3552000000002"/>
    <n v="30.498999999999981"/>
  </r>
  <r>
    <n v="132"/>
    <x v="48"/>
    <x v="46"/>
    <d v="2021-02-05T00:00:00"/>
    <x v="2"/>
    <x v="47"/>
    <x v="47"/>
    <x v="0"/>
    <x v="0"/>
    <x v="31"/>
    <x v="21"/>
    <n v="43229"/>
    <s v="East"/>
    <x v="75"/>
    <x v="0"/>
    <x v="5"/>
    <x v="75"/>
    <n v="78.304000000000002"/>
    <n v="2"/>
    <n v="0.2"/>
    <n v="125.2864"/>
    <n v="29.363999999999997"/>
  </r>
  <r>
    <n v="133"/>
    <x v="48"/>
    <x v="46"/>
    <d v="2021-02-05T00:00:00"/>
    <x v="2"/>
    <x v="47"/>
    <x v="47"/>
    <x v="0"/>
    <x v="0"/>
    <x v="31"/>
    <x v="21"/>
    <n v="43229"/>
    <s v="East"/>
    <x v="76"/>
    <x v="0"/>
    <x v="7"/>
    <x v="76"/>
    <n v="21.456"/>
    <n v="9"/>
    <n v="0.2"/>
    <n v="154.48319999999998"/>
    <n v="6.9731999999999976"/>
  </r>
  <r>
    <n v="134"/>
    <x v="49"/>
    <x v="47"/>
    <d v="2020-10-19T00:00:00"/>
    <x v="1"/>
    <x v="48"/>
    <x v="48"/>
    <x v="1"/>
    <x v="0"/>
    <x v="35"/>
    <x v="0"/>
    <n v="95661"/>
    <s v="West"/>
    <x v="77"/>
    <x v="0"/>
    <x v="5"/>
    <x v="77"/>
    <n v="20.04"/>
    <n v="3"/>
    <n v="0"/>
    <n v="60.12"/>
    <n v="9.6191999999999993"/>
  </r>
  <r>
    <n v="135"/>
    <x v="49"/>
    <x v="47"/>
    <d v="2020-10-19T00:00:00"/>
    <x v="1"/>
    <x v="48"/>
    <x v="48"/>
    <x v="1"/>
    <x v="0"/>
    <x v="35"/>
    <x v="0"/>
    <n v="95661"/>
    <s v="West"/>
    <x v="78"/>
    <x v="0"/>
    <x v="5"/>
    <x v="78"/>
    <n v="35.44"/>
    <n v="1"/>
    <n v="0"/>
    <n v="35.44"/>
    <n v="16.656799999999997"/>
  </r>
  <r>
    <n v="136"/>
    <x v="49"/>
    <x v="47"/>
    <d v="2020-10-19T00:00:00"/>
    <x v="1"/>
    <x v="48"/>
    <x v="48"/>
    <x v="1"/>
    <x v="0"/>
    <x v="35"/>
    <x v="0"/>
    <n v="95661"/>
    <s v="West"/>
    <x v="79"/>
    <x v="0"/>
    <x v="2"/>
    <x v="79"/>
    <n v="11.52"/>
    <n v="4"/>
    <n v="0"/>
    <n v="46.08"/>
    <n v="3.4559999999999995"/>
  </r>
  <r>
    <n v="137"/>
    <x v="49"/>
    <x v="47"/>
    <d v="2020-10-19T00:00:00"/>
    <x v="1"/>
    <x v="48"/>
    <x v="48"/>
    <x v="1"/>
    <x v="0"/>
    <x v="35"/>
    <x v="0"/>
    <n v="95661"/>
    <s v="West"/>
    <x v="80"/>
    <x v="0"/>
    <x v="7"/>
    <x v="80"/>
    <n v="4.0199999999999996"/>
    <n v="2"/>
    <n v="0"/>
    <n v="8.0399999999999991"/>
    <n v="1.9697999999999998"/>
  </r>
  <r>
    <n v="138"/>
    <x v="49"/>
    <x v="47"/>
    <d v="2020-10-19T00:00:00"/>
    <x v="1"/>
    <x v="48"/>
    <x v="48"/>
    <x v="1"/>
    <x v="0"/>
    <x v="35"/>
    <x v="0"/>
    <n v="95661"/>
    <s v="West"/>
    <x v="81"/>
    <x v="0"/>
    <x v="3"/>
    <x v="81"/>
    <n v="76.176000000000002"/>
    <n v="3"/>
    <n v="0.2"/>
    <n v="182.82240000000002"/>
    <n v="26.661599999999996"/>
  </r>
  <r>
    <n v="139"/>
    <x v="49"/>
    <x v="47"/>
    <d v="2020-10-19T00:00:00"/>
    <x v="1"/>
    <x v="48"/>
    <x v="48"/>
    <x v="1"/>
    <x v="0"/>
    <x v="35"/>
    <x v="0"/>
    <n v="95661"/>
    <s v="West"/>
    <x v="82"/>
    <x v="0"/>
    <x v="8"/>
    <x v="82"/>
    <n v="65.88"/>
    <n v="6"/>
    <n v="0"/>
    <n v="395.28"/>
    <n v="18.446400000000004"/>
  </r>
  <r>
    <n v="142"/>
    <x v="50"/>
    <x v="48"/>
    <d v="2021-09-23T00:00:00"/>
    <x v="1"/>
    <x v="49"/>
    <x v="49"/>
    <x v="0"/>
    <x v="0"/>
    <x v="7"/>
    <x v="0"/>
    <n v="94122"/>
    <s v="West"/>
    <x v="83"/>
    <x v="0"/>
    <x v="2"/>
    <x v="83"/>
    <n v="8.82"/>
    <n v="3"/>
    <n v="0"/>
    <n v="26.46"/>
    <n v="2.3814000000000002"/>
  </r>
  <r>
    <n v="143"/>
    <x v="50"/>
    <x v="48"/>
    <d v="2021-09-23T00:00:00"/>
    <x v="1"/>
    <x v="49"/>
    <x v="49"/>
    <x v="0"/>
    <x v="0"/>
    <x v="7"/>
    <x v="0"/>
    <n v="94122"/>
    <s v="West"/>
    <x v="84"/>
    <x v="0"/>
    <x v="6"/>
    <x v="84"/>
    <n v="10.86"/>
    <n v="3"/>
    <n v="0"/>
    <n v="32.58"/>
    <n v="5.1042000000000005"/>
  </r>
  <r>
    <n v="144"/>
    <x v="50"/>
    <x v="48"/>
    <d v="2021-09-23T00:00:00"/>
    <x v="1"/>
    <x v="49"/>
    <x v="49"/>
    <x v="0"/>
    <x v="0"/>
    <x v="7"/>
    <x v="0"/>
    <n v="94122"/>
    <s v="West"/>
    <x v="85"/>
    <x v="0"/>
    <x v="5"/>
    <x v="85"/>
    <n v="143.69999999999999"/>
    <n v="3"/>
    <n v="0"/>
    <n v="431.09999999999997"/>
    <n v="68.975999999999999"/>
  </r>
  <r>
    <n v="145"/>
    <x v="51"/>
    <x v="49"/>
    <d v="2021-12-27T00:00:00"/>
    <x v="1"/>
    <x v="50"/>
    <x v="50"/>
    <x v="1"/>
    <x v="0"/>
    <x v="36"/>
    <x v="23"/>
    <n v="64055"/>
    <s v="Central"/>
    <x v="86"/>
    <x v="0"/>
    <x v="4"/>
    <x v="86"/>
    <n v="839.43000000000006"/>
    <n v="3"/>
    <n v="0"/>
    <n v="2518.29"/>
    <n v="218.25179999999997"/>
  </r>
  <r>
    <n v="146"/>
    <x v="52"/>
    <x v="50"/>
    <d v="2019-09-12T00:00:00"/>
    <x v="1"/>
    <x v="51"/>
    <x v="51"/>
    <x v="1"/>
    <x v="0"/>
    <x v="37"/>
    <x v="0"/>
    <n v="91104"/>
    <s v="West"/>
    <x v="49"/>
    <x v="0"/>
    <x v="1"/>
    <x v="49"/>
    <n v="671.93"/>
    <n v="7"/>
    <n v="0"/>
    <n v="4703.5099999999993"/>
    <n v="20.157899999999998"/>
  </r>
  <r>
    <n v="151"/>
    <x v="53"/>
    <x v="4"/>
    <d v="2020-12-09T00:00:00"/>
    <x v="1"/>
    <x v="52"/>
    <x v="52"/>
    <x v="0"/>
    <x v="0"/>
    <x v="38"/>
    <x v="5"/>
    <n v="53132"/>
    <s v="Central"/>
    <x v="87"/>
    <x v="0"/>
    <x v="3"/>
    <x v="87"/>
    <n v="171.55"/>
    <n v="5"/>
    <n v="0"/>
    <n v="857.75"/>
    <n v="80.628500000000003"/>
  </r>
  <r>
    <n v="152"/>
    <x v="54"/>
    <x v="51"/>
    <d v="2020-03-16T00:00:00"/>
    <x v="2"/>
    <x v="53"/>
    <x v="53"/>
    <x v="2"/>
    <x v="0"/>
    <x v="39"/>
    <x v="13"/>
    <n v="85254"/>
    <s v="West"/>
    <x v="88"/>
    <x v="0"/>
    <x v="4"/>
    <x v="88"/>
    <n v="157.91999999999999"/>
    <n v="5"/>
    <n v="0.2"/>
    <n v="631.67999999999995"/>
    <n v="17.765999999999991"/>
  </r>
  <r>
    <n v="154"/>
    <x v="55"/>
    <x v="52"/>
    <d v="2019-06-02T00:00:00"/>
    <x v="2"/>
    <x v="54"/>
    <x v="54"/>
    <x v="0"/>
    <x v="0"/>
    <x v="40"/>
    <x v="0"/>
    <n v="95123"/>
    <s v="West"/>
    <x v="89"/>
    <x v="0"/>
    <x v="5"/>
    <x v="89"/>
    <n v="58.379999999999995"/>
    <n v="7"/>
    <n v="0"/>
    <n v="408.65999999999997"/>
    <n v="26.270999999999994"/>
  </r>
  <r>
    <n v="155"/>
    <x v="55"/>
    <x v="52"/>
    <d v="2019-06-02T00:00:00"/>
    <x v="2"/>
    <x v="54"/>
    <x v="54"/>
    <x v="0"/>
    <x v="0"/>
    <x v="40"/>
    <x v="0"/>
    <n v="95123"/>
    <s v="West"/>
    <x v="90"/>
    <x v="0"/>
    <x v="5"/>
    <x v="90"/>
    <n v="105.52"/>
    <n v="4"/>
    <n v="0"/>
    <n v="422.08"/>
    <n v="48.539199999999994"/>
  </r>
  <r>
    <n v="156"/>
    <x v="55"/>
    <x v="52"/>
    <d v="2019-06-02T00:00:00"/>
    <x v="2"/>
    <x v="54"/>
    <x v="54"/>
    <x v="0"/>
    <x v="0"/>
    <x v="40"/>
    <x v="0"/>
    <n v="95123"/>
    <s v="West"/>
    <x v="91"/>
    <x v="0"/>
    <x v="1"/>
    <x v="91"/>
    <n v="80.88"/>
    <n v="6"/>
    <n v="0"/>
    <n v="485.28"/>
    <n v="21.028799999999997"/>
  </r>
  <r>
    <n v="157"/>
    <x v="56"/>
    <x v="53"/>
    <d v="2019-06-03T00:00:00"/>
    <x v="1"/>
    <x v="55"/>
    <x v="55"/>
    <x v="2"/>
    <x v="0"/>
    <x v="3"/>
    <x v="3"/>
    <n v="98105"/>
    <s v="West"/>
    <x v="92"/>
    <x v="0"/>
    <x v="2"/>
    <x v="92"/>
    <n v="6.63"/>
    <n v="3"/>
    <n v="0"/>
    <n v="19.89"/>
    <n v="1.7901"/>
  </r>
  <r>
    <n v="159"/>
    <x v="57"/>
    <x v="54"/>
    <d v="2020-11-24T00:00:00"/>
    <x v="1"/>
    <x v="56"/>
    <x v="56"/>
    <x v="1"/>
    <x v="0"/>
    <x v="41"/>
    <x v="24"/>
    <n v="73034"/>
    <s v="Central"/>
    <x v="93"/>
    <x v="0"/>
    <x v="0"/>
    <x v="93"/>
    <n v="14.62"/>
    <n v="2"/>
    <n v="0"/>
    <n v="29.24"/>
    <n v="6.8713999999999995"/>
  </r>
  <r>
    <n v="161"/>
    <x v="58"/>
    <x v="55"/>
    <d v="2020-05-12T00:00:00"/>
    <x v="2"/>
    <x v="57"/>
    <x v="57"/>
    <x v="1"/>
    <x v="0"/>
    <x v="0"/>
    <x v="0"/>
    <n v="90045"/>
    <s v="West"/>
    <x v="94"/>
    <x v="0"/>
    <x v="5"/>
    <x v="94"/>
    <n v="5.98"/>
    <n v="1"/>
    <n v="0"/>
    <n v="5.98"/>
    <n v="2.6909999999999998"/>
  </r>
  <r>
    <n v="163"/>
    <x v="59"/>
    <x v="56"/>
    <d v="2020-11-20T00:00:00"/>
    <x v="1"/>
    <x v="58"/>
    <x v="58"/>
    <x v="1"/>
    <x v="0"/>
    <x v="42"/>
    <x v="25"/>
    <n v="88220"/>
    <s v="West"/>
    <x v="95"/>
    <x v="0"/>
    <x v="6"/>
    <x v="95"/>
    <n v="28.4"/>
    <n v="5"/>
    <n v="0"/>
    <n v="142"/>
    <n v="13.347999999999997"/>
  </r>
  <r>
    <n v="164"/>
    <x v="60"/>
    <x v="57"/>
    <d v="2020-11-11T00:00:00"/>
    <x v="1"/>
    <x v="59"/>
    <x v="59"/>
    <x v="1"/>
    <x v="0"/>
    <x v="3"/>
    <x v="3"/>
    <n v="98115"/>
    <s v="West"/>
    <x v="96"/>
    <x v="0"/>
    <x v="3"/>
    <x v="96"/>
    <n v="27.680000000000003"/>
    <n v="2"/>
    <n v="0.2"/>
    <n v="44.288000000000004"/>
    <n v="9.6879999999999988"/>
  </r>
  <r>
    <n v="165"/>
    <x v="61"/>
    <x v="58"/>
    <d v="2018-09-12T00:00:00"/>
    <x v="1"/>
    <x v="60"/>
    <x v="60"/>
    <x v="1"/>
    <x v="0"/>
    <x v="43"/>
    <x v="4"/>
    <n v="78207"/>
    <s v="Central"/>
    <x v="97"/>
    <x v="0"/>
    <x v="2"/>
    <x v="97"/>
    <n v="9.9359999999999999"/>
    <n v="3"/>
    <n v="0.2"/>
    <n v="23.846399999999999"/>
    <n v="2.7324000000000002"/>
  </r>
  <r>
    <n v="167"/>
    <x v="61"/>
    <x v="58"/>
    <d v="2018-09-12T00:00:00"/>
    <x v="1"/>
    <x v="60"/>
    <x v="60"/>
    <x v="1"/>
    <x v="0"/>
    <x v="43"/>
    <x v="4"/>
    <n v="78207"/>
    <s v="Central"/>
    <x v="98"/>
    <x v="0"/>
    <x v="1"/>
    <x v="98"/>
    <n v="275.928"/>
    <n v="3"/>
    <n v="0.2"/>
    <n v="662.22720000000004"/>
    <n v="-58.634699999999995"/>
  </r>
  <r>
    <n v="169"/>
    <x v="61"/>
    <x v="58"/>
    <d v="2018-09-12T00:00:00"/>
    <x v="1"/>
    <x v="60"/>
    <x v="60"/>
    <x v="1"/>
    <x v="0"/>
    <x v="43"/>
    <x v="4"/>
    <n v="78207"/>
    <s v="Central"/>
    <x v="99"/>
    <x v="0"/>
    <x v="2"/>
    <x v="99"/>
    <n v="32.064"/>
    <n v="6"/>
    <n v="0.2"/>
    <n v="153.90720000000002"/>
    <n v="6.8135999999999974"/>
  </r>
  <r>
    <n v="170"/>
    <x v="61"/>
    <x v="58"/>
    <d v="2018-09-12T00:00:00"/>
    <x v="1"/>
    <x v="60"/>
    <x v="60"/>
    <x v="1"/>
    <x v="0"/>
    <x v="43"/>
    <x v="4"/>
    <n v="78207"/>
    <s v="Central"/>
    <x v="100"/>
    <x v="0"/>
    <x v="4"/>
    <x v="100"/>
    <n v="177.97999999999996"/>
    <n v="5"/>
    <n v="0.8"/>
    <n v="177.9799999999999"/>
    <n v="-453.84900000000005"/>
  </r>
  <r>
    <n v="172"/>
    <x v="62"/>
    <x v="59"/>
    <d v="2018-08-09T00:00:00"/>
    <x v="1"/>
    <x v="61"/>
    <x v="61"/>
    <x v="1"/>
    <x v="0"/>
    <x v="0"/>
    <x v="0"/>
    <n v="90004"/>
    <s v="West"/>
    <x v="101"/>
    <x v="0"/>
    <x v="5"/>
    <x v="101"/>
    <n v="20.94"/>
    <n v="3"/>
    <n v="0"/>
    <n v="62.820000000000007"/>
    <n v="9.841800000000001"/>
  </r>
  <r>
    <n v="173"/>
    <x v="62"/>
    <x v="59"/>
    <d v="2018-08-09T00:00:00"/>
    <x v="1"/>
    <x v="61"/>
    <x v="61"/>
    <x v="1"/>
    <x v="0"/>
    <x v="0"/>
    <x v="0"/>
    <n v="90004"/>
    <s v="West"/>
    <x v="102"/>
    <x v="0"/>
    <x v="5"/>
    <x v="102"/>
    <n v="110.96"/>
    <n v="2"/>
    <n v="0"/>
    <n v="221.92"/>
    <n v="53.260799999999996"/>
  </r>
  <r>
    <n v="175"/>
    <x v="63"/>
    <x v="60"/>
    <d v="2018-09-19T00:00:00"/>
    <x v="1"/>
    <x v="62"/>
    <x v="62"/>
    <x v="0"/>
    <x v="0"/>
    <x v="23"/>
    <x v="17"/>
    <n v="60623"/>
    <s v="Central"/>
    <x v="103"/>
    <x v="0"/>
    <x v="4"/>
    <x v="103"/>
    <n v="52.447999999999993"/>
    <n v="2"/>
    <n v="0.8"/>
    <n v="20.979199999999992"/>
    <n v="-131.12000000000003"/>
  </r>
  <r>
    <n v="176"/>
    <x v="63"/>
    <x v="60"/>
    <d v="2018-09-19T00:00:00"/>
    <x v="1"/>
    <x v="62"/>
    <x v="62"/>
    <x v="0"/>
    <x v="0"/>
    <x v="23"/>
    <x v="17"/>
    <n v="60623"/>
    <s v="Central"/>
    <x v="104"/>
    <x v="0"/>
    <x v="0"/>
    <x v="104"/>
    <n v="20.16"/>
    <n v="4"/>
    <n v="0.2"/>
    <n v="64.512"/>
    <n v="6.5519999999999987"/>
  </r>
  <r>
    <n v="177"/>
    <x v="64"/>
    <x v="61"/>
    <d v="2021-04-25T00:00:00"/>
    <x v="0"/>
    <x v="63"/>
    <x v="63"/>
    <x v="1"/>
    <x v="0"/>
    <x v="10"/>
    <x v="4"/>
    <n v="77036"/>
    <s v="Central"/>
    <x v="105"/>
    <x v="0"/>
    <x v="4"/>
    <x v="105"/>
    <n v="97.263999999999982"/>
    <n v="4"/>
    <n v="0.8"/>
    <n v="77.811199999999985"/>
    <n v="-243.16000000000008"/>
  </r>
  <r>
    <n v="179"/>
    <x v="65"/>
    <x v="62"/>
    <d v="2019-11-23T00:00:00"/>
    <x v="0"/>
    <x v="25"/>
    <x v="25"/>
    <x v="1"/>
    <x v="0"/>
    <x v="44"/>
    <x v="21"/>
    <n v="43055"/>
    <s v="East"/>
    <x v="106"/>
    <x v="0"/>
    <x v="8"/>
    <x v="106"/>
    <n v="15.88"/>
    <n v="5"/>
    <n v="0.2"/>
    <n v="63.52"/>
    <n v="-3.771500000000001"/>
  </r>
  <r>
    <n v="180"/>
    <x v="66"/>
    <x v="63"/>
    <d v="2019-12-19T00:00:00"/>
    <x v="1"/>
    <x v="64"/>
    <x v="64"/>
    <x v="2"/>
    <x v="0"/>
    <x v="15"/>
    <x v="12"/>
    <n v="10009"/>
    <s v="East"/>
    <x v="107"/>
    <x v="0"/>
    <x v="2"/>
    <x v="107"/>
    <n v="3.28"/>
    <n v="1"/>
    <n v="0"/>
    <n v="3.28"/>
    <n v="1.4104000000000001"/>
  </r>
  <r>
    <n v="181"/>
    <x v="67"/>
    <x v="22"/>
    <d v="2018-12-09T00:00:00"/>
    <x v="0"/>
    <x v="65"/>
    <x v="65"/>
    <x v="0"/>
    <x v="0"/>
    <x v="21"/>
    <x v="17"/>
    <n v="62521"/>
    <s v="Central"/>
    <x v="108"/>
    <x v="0"/>
    <x v="1"/>
    <x v="108"/>
    <n v="24.816000000000003"/>
    <n v="2"/>
    <n v="0.2"/>
    <n v="39.705600000000004"/>
    <n v="1.8612000000000002"/>
  </r>
  <r>
    <n v="186"/>
    <x v="68"/>
    <x v="64"/>
    <d v="2020-12-02T00:00:00"/>
    <x v="1"/>
    <x v="66"/>
    <x v="66"/>
    <x v="1"/>
    <x v="0"/>
    <x v="45"/>
    <x v="26"/>
    <n v="6824"/>
    <s v="East"/>
    <x v="109"/>
    <x v="0"/>
    <x v="3"/>
    <x v="109"/>
    <n v="7.16"/>
    <n v="2"/>
    <n v="0"/>
    <n v="14.32"/>
    <n v="3.4367999999999999"/>
  </r>
  <r>
    <n v="188"/>
    <x v="69"/>
    <x v="65"/>
    <d v="2020-07-22T00:00:00"/>
    <x v="1"/>
    <x v="67"/>
    <x v="67"/>
    <x v="0"/>
    <x v="0"/>
    <x v="46"/>
    <x v="4"/>
    <n v="75051"/>
    <s v="Central"/>
    <x v="110"/>
    <x v="0"/>
    <x v="1"/>
    <x v="110"/>
    <n v="37.224000000000004"/>
    <n v="3"/>
    <n v="0.2"/>
    <n v="89.337600000000009"/>
    <n v="3.7224000000000004"/>
  </r>
  <r>
    <n v="189"/>
    <x v="69"/>
    <x v="65"/>
    <d v="2020-07-22T00:00:00"/>
    <x v="1"/>
    <x v="67"/>
    <x v="67"/>
    <x v="0"/>
    <x v="0"/>
    <x v="46"/>
    <x v="4"/>
    <n v="75051"/>
    <s v="Central"/>
    <x v="89"/>
    <x v="0"/>
    <x v="5"/>
    <x v="89"/>
    <n v="20.016000000000002"/>
    <n v="3"/>
    <n v="0.2"/>
    <n v="48.038400000000003"/>
    <n v="6.2549999999999963"/>
  </r>
  <r>
    <n v="192"/>
    <x v="70"/>
    <x v="66"/>
    <d v="2019-10-14T00:00:00"/>
    <x v="2"/>
    <x v="68"/>
    <x v="68"/>
    <x v="2"/>
    <x v="0"/>
    <x v="15"/>
    <x v="12"/>
    <n v="10035"/>
    <s v="East"/>
    <x v="111"/>
    <x v="0"/>
    <x v="5"/>
    <x v="111"/>
    <n v="51.84"/>
    <n v="8"/>
    <n v="0"/>
    <n v="414.72"/>
    <n v="24.883200000000002"/>
  </r>
  <r>
    <n v="194"/>
    <x v="70"/>
    <x v="66"/>
    <d v="2019-10-14T00:00:00"/>
    <x v="2"/>
    <x v="68"/>
    <x v="68"/>
    <x v="2"/>
    <x v="0"/>
    <x v="15"/>
    <x v="12"/>
    <n v="10035"/>
    <s v="East"/>
    <x v="112"/>
    <x v="0"/>
    <x v="2"/>
    <x v="112"/>
    <n v="19.899999999999999"/>
    <n v="5"/>
    <n v="0"/>
    <n v="99.5"/>
    <n v="6.5669999999999984"/>
  </r>
  <r>
    <n v="195"/>
    <x v="71"/>
    <x v="67"/>
    <d v="2019-11-06T00:00:00"/>
    <x v="1"/>
    <x v="69"/>
    <x v="69"/>
    <x v="0"/>
    <x v="0"/>
    <x v="47"/>
    <x v="0"/>
    <n v="92374"/>
    <s v="West"/>
    <x v="17"/>
    <x v="0"/>
    <x v="6"/>
    <x v="17"/>
    <n v="14.280000000000001"/>
    <n v="7"/>
    <n v="0"/>
    <n v="99.960000000000008"/>
    <n v="6.7115999999999989"/>
  </r>
  <r>
    <n v="196"/>
    <x v="72"/>
    <x v="68"/>
    <d v="2018-03-25T00:00:00"/>
    <x v="1"/>
    <x v="70"/>
    <x v="70"/>
    <x v="1"/>
    <x v="0"/>
    <x v="48"/>
    <x v="21"/>
    <n v="45011"/>
    <s v="East"/>
    <x v="113"/>
    <x v="0"/>
    <x v="2"/>
    <x v="113"/>
    <n v="7.4080000000000004"/>
    <n v="2"/>
    <n v="0.2"/>
    <n v="11.8528"/>
    <n v="1.2037999999999995"/>
  </r>
  <r>
    <n v="197"/>
    <x v="72"/>
    <x v="68"/>
    <d v="2018-03-25T00:00:00"/>
    <x v="1"/>
    <x v="70"/>
    <x v="70"/>
    <x v="1"/>
    <x v="0"/>
    <x v="48"/>
    <x v="21"/>
    <n v="45011"/>
    <s v="East"/>
    <x v="114"/>
    <x v="0"/>
    <x v="2"/>
    <x v="114"/>
    <n v="6.048"/>
    <n v="3"/>
    <n v="0.2"/>
    <n v="14.515199999999998"/>
    <n v="1.5876000000000006"/>
  </r>
  <r>
    <n v="198"/>
    <x v="73"/>
    <x v="35"/>
    <d v="2021-11-13T00:00:00"/>
    <x v="1"/>
    <x v="71"/>
    <x v="71"/>
    <x v="2"/>
    <x v="0"/>
    <x v="49"/>
    <x v="27"/>
    <n v="7090"/>
    <s v="East"/>
    <x v="115"/>
    <x v="0"/>
    <x v="1"/>
    <x v="115"/>
    <n v="46.26"/>
    <n v="3"/>
    <n v="0"/>
    <n v="138.78"/>
    <n v="12.0276"/>
  </r>
  <r>
    <n v="199"/>
    <x v="74"/>
    <x v="69"/>
    <d v="2021-07-13T00:00:00"/>
    <x v="1"/>
    <x v="72"/>
    <x v="72"/>
    <x v="0"/>
    <x v="0"/>
    <x v="9"/>
    <x v="8"/>
    <n v="19120"/>
    <s v="East"/>
    <x v="116"/>
    <x v="0"/>
    <x v="3"/>
    <x v="116"/>
    <n v="2.9460000000000006"/>
    <n v="2"/>
    <n v="0.7"/>
    <n v="1.7676000000000007"/>
    <n v="-2.2585999999999995"/>
  </r>
  <r>
    <n v="200"/>
    <x v="74"/>
    <x v="69"/>
    <d v="2021-07-13T00:00:00"/>
    <x v="1"/>
    <x v="72"/>
    <x v="72"/>
    <x v="0"/>
    <x v="0"/>
    <x v="9"/>
    <x v="8"/>
    <n v="19120"/>
    <s v="East"/>
    <x v="117"/>
    <x v="0"/>
    <x v="5"/>
    <x v="117"/>
    <n v="16.056000000000001"/>
    <n v="3"/>
    <n v="0.2"/>
    <n v="38.534400000000005"/>
    <n v="5.8203000000000005"/>
  </r>
  <r>
    <n v="201"/>
    <x v="75"/>
    <x v="70"/>
    <d v="2021-06-29T00:00:00"/>
    <x v="1"/>
    <x v="73"/>
    <x v="73"/>
    <x v="1"/>
    <x v="0"/>
    <x v="50"/>
    <x v="21"/>
    <n v="44312"/>
    <s v="East"/>
    <x v="118"/>
    <x v="0"/>
    <x v="5"/>
    <x v="118"/>
    <n v="21.744000000000003"/>
    <n v="3"/>
    <n v="0.2"/>
    <n v="52.185600000000008"/>
    <n v="6.794999999999999"/>
  </r>
  <r>
    <n v="203"/>
    <x v="76"/>
    <x v="71"/>
    <d v="2018-08-05T00:00:00"/>
    <x v="2"/>
    <x v="74"/>
    <x v="74"/>
    <x v="1"/>
    <x v="0"/>
    <x v="51"/>
    <x v="19"/>
    <n v="80219"/>
    <s v="West"/>
    <x v="119"/>
    <x v="0"/>
    <x v="4"/>
    <x v="119"/>
    <n v="2.6"/>
    <n v="1"/>
    <n v="0.2"/>
    <n v="2.08"/>
    <n v="0.29249999999999987"/>
  </r>
  <r>
    <n v="204"/>
    <x v="77"/>
    <x v="72"/>
    <d v="2021-12-21T00:00:00"/>
    <x v="0"/>
    <x v="75"/>
    <x v="75"/>
    <x v="1"/>
    <x v="0"/>
    <x v="52"/>
    <x v="4"/>
    <n v="75220"/>
    <s v="Central"/>
    <x v="120"/>
    <x v="0"/>
    <x v="4"/>
    <x v="120"/>
    <n v="66.283999999999992"/>
    <n v="2"/>
    <n v="0.8"/>
    <n v="26.513599999999997"/>
    <n v="-178.96680000000001"/>
  </r>
  <r>
    <n v="207"/>
    <x v="78"/>
    <x v="73"/>
    <d v="2021-12-07T00:00:00"/>
    <x v="1"/>
    <x v="76"/>
    <x v="76"/>
    <x v="1"/>
    <x v="0"/>
    <x v="53"/>
    <x v="10"/>
    <n v="48601"/>
    <s v="Central"/>
    <x v="121"/>
    <x v="0"/>
    <x v="1"/>
    <x v="121"/>
    <n v="83.92"/>
    <n v="4"/>
    <n v="0"/>
    <n v="335.68"/>
    <n v="5.8743999999999943"/>
  </r>
  <r>
    <n v="209"/>
    <x v="78"/>
    <x v="73"/>
    <d v="2021-12-07T00:00:00"/>
    <x v="1"/>
    <x v="76"/>
    <x v="76"/>
    <x v="1"/>
    <x v="0"/>
    <x v="53"/>
    <x v="10"/>
    <n v="48601"/>
    <s v="Central"/>
    <x v="73"/>
    <x v="0"/>
    <x v="3"/>
    <x v="73"/>
    <n v="15.92"/>
    <n v="4"/>
    <n v="0"/>
    <n v="63.68"/>
    <n v="7.4824000000000002"/>
  </r>
  <r>
    <n v="210"/>
    <x v="78"/>
    <x v="73"/>
    <d v="2021-12-07T00:00:00"/>
    <x v="1"/>
    <x v="76"/>
    <x v="76"/>
    <x v="1"/>
    <x v="0"/>
    <x v="53"/>
    <x v="10"/>
    <n v="48601"/>
    <s v="Central"/>
    <x v="122"/>
    <x v="0"/>
    <x v="7"/>
    <x v="122"/>
    <n v="52.29"/>
    <n v="9"/>
    <n v="0"/>
    <n v="470.61"/>
    <n v="16.209899999999998"/>
  </r>
  <r>
    <n v="211"/>
    <x v="78"/>
    <x v="73"/>
    <d v="2021-12-07T00:00:00"/>
    <x v="1"/>
    <x v="76"/>
    <x v="76"/>
    <x v="1"/>
    <x v="0"/>
    <x v="53"/>
    <x v="10"/>
    <n v="48601"/>
    <s v="Central"/>
    <x v="123"/>
    <x v="0"/>
    <x v="1"/>
    <x v="123"/>
    <n v="91.99"/>
    <n v="1"/>
    <n v="0"/>
    <n v="91.99"/>
    <n v="3.6795999999999935"/>
  </r>
  <r>
    <n v="213"/>
    <x v="79"/>
    <x v="74"/>
    <d v="2019-01-09T00:00:00"/>
    <x v="1"/>
    <x v="77"/>
    <x v="77"/>
    <x v="0"/>
    <x v="0"/>
    <x v="54"/>
    <x v="21"/>
    <n v="44256"/>
    <s v="East"/>
    <x v="124"/>
    <x v="0"/>
    <x v="0"/>
    <x v="124"/>
    <n v="23.680000000000003"/>
    <n v="2"/>
    <n v="0.2"/>
    <n v="37.888000000000005"/>
    <n v="8.879999999999999"/>
  </r>
  <r>
    <n v="218"/>
    <x v="80"/>
    <x v="75"/>
    <d v="2020-11-01T00:00:00"/>
    <x v="1"/>
    <x v="78"/>
    <x v="78"/>
    <x v="1"/>
    <x v="0"/>
    <x v="0"/>
    <x v="0"/>
    <n v="90032"/>
    <s v="West"/>
    <x v="110"/>
    <x v="0"/>
    <x v="1"/>
    <x v="110"/>
    <n v="93.06"/>
    <n v="6"/>
    <n v="0"/>
    <n v="558.36"/>
    <n v="26.056800000000003"/>
  </r>
  <r>
    <n v="220"/>
    <x v="81"/>
    <x v="76"/>
    <d v="2019-12-27T00:00:00"/>
    <x v="2"/>
    <x v="79"/>
    <x v="79"/>
    <x v="1"/>
    <x v="0"/>
    <x v="55"/>
    <x v="21"/>
    <n v="43017"/>
    <s v="East"/>
    <x v="125"/>
    <x v="0"/>
    <x v="7"/>
    <x v="125"/>
    <n v="5.5840000000000005"/>
    <n v="2"/>
    <n v="0.2"/>
    <n v="8.9344000000000001"/>
    <n v="1.8147999999999997"/>
  </r>
  <r>
    <n v="221"/>
    <x v="81"/>
    <x v="76"/>
    <d v="2019-12-27T00:00:00"/>
    <x v="2"/>
    <x v="79"/>
    <x v="79"/>
    <x v="1"/>
    <x v="0"/>
    <x v="55"/>
    <x v="21"/>
    <n v="43017"/>
    <s v="East"/>
    <x v="126"/>
    <x v="0"/>
    <x v="5"/>
    <x v="126"/>
    <n v="22.704000000000004"/>
    <n v="6"/>
    <n v="0.2"/>
    <n v="108.97920000000002"/>
    <n v="8.2302"/>
  </r>
  <r>
    <n v="222"/>
    <x v="81"/>
    <x v="76"/>
    <d v="2019-12-27T00:00:00"/>
    <x v="2"/>
    <x v="79"/>
    <x v="79"/>
    <x v="1"/>
    <x v="0"/>
    <x v="55"/>
    <x v="21"/>
    <n v="43017"/>
    <s v="East"/>
    <x v="55"/>
    <x v="0"/>
    <x v="3"/>
    <x v="55"/>
    <n v="19.776000000000003"/>
    <n v="4"/>
    <n v="0.7"/>
    <n v="23.731200000000008"/>
    <n v="-13.843199999999996"/>
  </r>
  <r>
    <n v="225"/>
    <x v="81"/>
    <x v="76"/>
    <d v="2019-12-27T00:00:00"/>
    <x v="2"/>
    <x v="79"/>
    <x v="79"/>
    <x v="1"/>
    <x v="0"/>
    <x v="55"/>
    <x v="21"/>
    <n v="43017"/>
    <s v="East"/>
    <x v="127"/>
    <x v="0"/>
    <x v="2"/>
    <x v="127"/>
    <n v="27.168000000000003"/>
    <n v="2"/>
    <n v="0.2"/>
    <n v="43.468800000000002"/>
    <n v="2.7168000000000001"/>
  </r>
  <r>
    <n v="226"/>
    <x v="82"/>
    <x v="77"/>
    <d v="2019-08-16T00:00:00"/>
    <x v="1"/>
    <x v="80"/>
    <x v="80"/>
    <x v="0"/>
    <x v="0"/>
    <x v="56"/>
    <x v="10"/>
    <n v="48227"/>
    <s v="Central"/>
    <x v="128"/>
    <x v="0"/>
    <x v="2"/>
    <x v="128"/>
    <n v="2.2000000000000002"/>
    <n v="1"/>
    <n v="0"/>
    <n v="2.2000000000000002"/>
    <n v="0.96800000000000019"/>
  </r>
  <r>
    <n v="228"/>
    <x v="82"/>
    <x v="77"/>
    <d v="2019-08-16T00:00:00"/>
    <x v="1"/>
    <x v="80"/>
    <x v="80"/>
    <x v="0"/>
    <x v="0"/>
    <x v="56"/>
    <x v="10"/>
    <n v="48227"/>
    <s v="Central"/>
    <x v="129"/>
    <x v="0"/>
    <x v="1"/>
    <x v="129"/>
    <n v="21.98"/>
    <n v="1"/>
    <n v="0"/>
    <n v="21.98"/>
    <n v="0.21979999999999933"/>
  </r>
  <r>
    <n v="231"/>
    <x v="83"/>
    <x v="78"/>
    <d v="2018-09-17T00:00:00"/>
    <x v="1"/>
    <x v="81"/>
    <x v="81"/>
    <x v="0"/>
    <x v="0"/>
    <x v="29"/>
    <x v="2"/>
    <n v="28205"/>
    <s v="South"/>
    <x v="130"/>
    <x v="0"/>
    <x v="3"/>
    <x v="130"/>
    <n v="18.648000000000003"/>
    <n v="7"/>
    <n v="0.7"/>
    <n v="39.160800000000009"/>
    <n v="-12.431999999999999"/>
  </r>
  <r>
    <n v="234"/>
    <x v="84"/>
    <x v="79"/>
    <d v="2021-04-12T00:00:00"/>
    <x v="1"/>
    <x v="30"/>
    <x v="30"/>
    <x v="2"/>
    <x v="0"/>
    <x v="57"/>
    <x v="1"/>
    <n v="33614"/>
    <s v="South"/>
    <x v="130"/>
    <x v="0"/>
    <x v="3"/>
    <x v="130"/>
    <n v="5.3280000000000012"/>
    <n v="2"/>
    <n v="0.7"/>
    <n v="3.1968000000000014"/>
    <n v="-3.5519999999999996"/>
  </r>
  <r>
    <n v="237"/>
    <x v="85"/>
    <x v="80"/>
    <d v="2021-11-16T00:00:00"/>
    <x v="1"/>
    <x v="82"/>
    <x v="82"/>
    <x v="0"/>
    <x v="0"/>
    <x v="58"/>
    <x v="0"/>
    <n v="95051"/>
    <s v="West"/>
    <x v="131"/>
    <x v="0"/>
    <x v="5"/>
    <x v="131"/>
    <n v="10.56"/>
    <n v="2"/>
    <n v="0"/>
    <n v="21.12"/>
    <n v="4.7519999999999998"/>
  </r>
  <r>
    <n v="238"/>
    <x v="86"/>
    <x v="23"/>
    <d v="2020-06-09T00:00:00"/>
    <x v="0"/>
    <x v="83"/>
    <x v="83"/>
    <x v="1"/>
    <x v="0"/>
    <x v="23"/>
    <x v="17"/>
    <n v="60610"/>
    <s v="Central"/>
    <x v="132"/>
    <x v="0"/>
    <x v="5"/>
    <x v="132"/>
    <n v="25.920000000000005"/>
    <n v="5"/>
    <n v="0.2"/>
    <n v="103.68000000000002"/>
    <n v="9.3960000000000008"/>
  </r>
  <r>
    <n v="244"/>
    <x v="86"/>
    <x v="23"/>
    <d v="2020-06-09T00:00:00"/>
    <x v="0"/>
    <x v="83"/>
    <x v="83"/>
    <x v="1"/>
    <x v="0"/>
    <x v="23"/>
    <x v="17"/>
    <n v="60610"/>
    <s v="Central"/>
    <x v="113"/>
    <x v="0"/>
    <x v="2"/>
    <x v="113"/>
    <n v="7.4080000000000004"/>
    <n v="2"/>
    <n v="0.2"/>
    <n v="11.8528"/>
    <n v="1.2037999999999995"/>
  </r>
  <r>
    <n v="246"/>
    <x v="87"/>
    <x v="81"/>
    <d v="2018-06-06T00:00:00"/>
    <x v="0"/>
    <x v="84"/>
    <x v="84"/>
    <x v="2"/>
    <x v="0"/>
    <x v="59"/>
    <x v="9"/>
    <n v="55044"/>
    <s v="Central"/>
    <x v="133"/>
    <x v="0"/>
    <x v="1"/>
    <x v="133"/>
    <n v="166.72"/>
    <n v="2"/>
    <n v="0"/>
    <n v="333.44"/>
    <n v="41.680000000000007"/>
  </r>
  <r>
    <n v="247"/>
    <x v="87"/>
    <x v="81"/>
    <d v="2018-06-06T00:00:00"/>
    <x v="0"/>
    <x v="84"/>
    <x v="84"/>
    <x v="2"/>
    <x v="0"/>
    <x v="59"/>
    <x v="9"/>
    <n v="55044"/>
    <s v="Central"/>
    <x v="134"/>
    <x v="0"/>
    <x v="5"/>
    <x v="134"/>
    <n v="47.88"/>
    <n v="6"/>
    <n v="0"/>
    <n v="287.28000000000003"/>
    <n v="23.94"/>
  </r>
  <r>
    <n v="248"/>
    <x v="87"/>
    <x v="81"/>
    <d v="2018-06-06T00:00:00"/>
    <x v="0"/>
    <x v="84"/>
    <x v="84"/>
    <x v="2"/>
    <x v="0"/>
    <x v="59"/>
    <x v="9"/>
    <n v="55044"/>
    <s v="Central"/>
    <x v="135"/>
    <x v="0"/>
    <x v="4"/>
    <x v="135"/>
    <n v="1503.25"/>
    <n v="5"/>
    <n v="0"/>
    <n v="7516.25"/>
    <n v="496.07249999999993"/>
  </r>
  <r>
    <n v="249"/>
    <x v="87"/>
    <x v="81"/>
    <d v="2018-06-06T00:00:00"/>
    <x v="0"/>
    <x v="84"/>
    <x v="84"/>
    <x v="2"/>
    <x v="0"/>
    <x v="59"/>
    <x v="9"/>
    <n v="55044"/>
    <s v="Central"/>
    <x v="111"/>
    <x v="0"/>
    <x v="5"/>
    <x v="111"/>
    <n v="25.92"/>
    <n v="4"/>
    <n v="0"/>
    <n v="103.68"/>
    <n v="12.441600000000001"/>
  </r>
  <r>
    <n v="251"/>
    <x v="88"/>
    <x v="82"/>
    <d v="2020-09-17T00:00:00"/>
    <x v="1"/>
    <x v="85"/>
    <x v="85"/>
    <x v="1"/>
    <x v="0"/>
    <x v="60"/>
    <x v="0"/>
    <n v="92037"/>
    <s v="West"/>
    <x v="136"/>
    <x v="0"/>
    <x v="5"/>
    <x v="136"/>
    <n v="7.61"/>
    <n v="1"/>
    <n v="0"/>
    <n v="7.61"/>
    <n v="3.5766999999999998"/>
  </r>
  <r>
    <n v="253"/>
    <x v="89"/>
    <x v="83"/>
    <d v="2020-12-13T00:00:00"/>
    <x v="2"/>
    <x v="86"/>
    <x v="86"/>
    <x v="1"/>
    <x v="0"/>
    <x v="15"/>
    <x v="12"/>
    <n v="10024"/>
    <s v="East"/>
    <x v="137"/>
    <x v="0"/>
    <x v="1"/>
    <x v="137"/>
    <n v="80.58"/>
    <n v="6"/>
    <n v="0"/>
    <n v="483.48"/>
    <n v="22.562400000000004"/>
  </r>
  <r>
    <n v="254"/>
    <x v="89"/>
    <x v="83"/>
    <d v="2020-12-13T00:00:00"/>
    <x v="2"/>
    <x v="86"/>
    <x v="86"/>
    <x v="1"/>
    <x v="0"/>
    <x v="15"/>
    <x v="12"/>
    <n v="10024"/>
    <s v="East"/>
    <x v="138"/>
    <x v="0"/>
    <x v="6"/>
    <x v="138"/>
    <n v="361.92"/>
    <n v="4"/>
    <n v="0"/>
    <n v="1447.68"/>
    <n v="162.864"/>
  </r>
  <r>
    <n v="256"/>
    <x v="90"/>
    <x v="84"/>
    <d v="2019-12-04T00:00:00"/>
    <x v="1"/>
    <x v="87"/>
    <x v="87"/>
    <x v="0"/>
    <x v="0"/>
    <x v="23"/>
    <x v="17"/>
    <n v="60623"/>
    <s v="Central"/>
    <x v="139"/>
    <x v="0"/>
    <x v="1"/>
    <x v="139"/>
    <n v="82.367999999999995"/>
    <n v="2"/>
    <n v="0.2"/>
    <n v="131.78879999999998"/>
    <n v="-19.562399999999997"/>
  </r>
  <r>
    <n v="257"/>
    <x v="90"/>
    <x v="84"/>
    <d v="2019-12-04T00:00:00"/>
    <x v="1"/>
    <x v="87"/>
    <x v="87"/>
    <x v="0"/>
    <x v="0"/>
    <x v="23"/>
    <x v="17"/>
    <n v="60623"/>
    <s v="Central"/>
    <x v="91"/>
    <x v="0"/>
    <x v="1"/>
    <x v="91"/>
    <n v="53.92"/>
    <n v="5"/>
    <n v="0.2"/>
    <n v="215.68"/>
    <n v="4.0439999999999969"/>
  </r>
  <r>
    <n v="260"/>
    <x v="91"/>
    <x v="73"/>
    <d v="2021-12-03T00:00:00"/>
    <x v="0"/>
    <x v="88"/>
    <x v="88"/>
    <x v="1"/>
    <x v="0"/>
    <x v="15"/>
    <x v="12"/>
    <n v="10009"/>
    <s v="East"/>
    <x v="140"/>
    <x v="0"/>
    <x v="1"/>
    <x v="140"/>
    <n v="221.54999999999998"/>
    <n v="3"/>
    <n v="0"/>
    <n v="664.65"/>
    <n v="6.6465000000000174"/>
  </r>
  <r>
    <n v="261"/>
    <x v="91"/>
    <x v="73"/>
    <d v="2021-12-03T00:00:00"/>
    <x v="0"/>
    <x v="88"/>
    <x v="88"/>
    <x v="1"/>
    <x v="0"/>
    <x v="15"/>
    <x v="12"/>
    <n v="10009"/>
    <s v="East"/>
    <x v="141"/>
    <x v="0"/>
    <x v="3"/>
    <x v="141"/>
    <n v="17.52"/>
    <n v="5"/>
    <n v="0.2"/>
    <n v="70.08"/>
    <n v="6.1319999999999988"/>
  </r>
  <r>
    <n v="262"/>
    <x v="92"/>
    <x v="85"/>
    <d v="2021-06-12T00:00:00"/>
    <x v="1"/>
    <x v="89"/>
    <x v="89"/>
    <x v="0"/>
    <x v="0"/>
    <x v="37"/>
    <x v="4"/>
    <n v="77506"/>
    <s v="Central"/>
    <x v="142"/>
    <x v="0"/>
    <x v="4"/>
    <x v="142"/>
    <n v="1.6239999999999994"/>
    <n v="2"/>
    <n v="0.8"/>
    <n v="0.64959999999999951"/>
    <n v="-4.4660000000000002"/>
  </r>
  <r>
    <n v="267"/>
    <x v="93"/>
    <x v="86"/>
    <d v="2021-06-20T00:00:00"/>
    <x v="1"/>
    <x v="90"/>
    <x v="90"/>
    <x v="0"/>
    <x v="0"/>
    <x v="61"/>
    <x v="2"/>
    <n v="27514"/>
    <s v="South"/>
    <x v="143"/>
    <x v="0"/>
    <x v="2"/>
    <x v="143"/>
    <n v="14.015999999999998"/>
    <n v="3"/>
    <n v="0.2"/>
    <n v="33.638399999999997"/>
    <n v="4.7303999999999995"/>
  </r>
  <r>
    <n v="268"/>
    <x v="94"/>
    <x v="87"/>
    <d v="2020-01-28T00:00:00"/>
    <x v="1"/>
    <x v="31"/>
    <x v="31"/>
    <x v="1"/>
    <x v="0"/>
    <x v="62"/>
    <x v="27"/>
    <n v="7960"/>
    <s v="East"/>
    <x v="144"/>
    <x v="0"/>
    <x v="7"/>
    <x v="144"/>
    <n v="7.5600000000000005"/>
    <n v="6"/>
    <n v="0"/>
    <n v="45.36"/>
    <n v="0.3024"/>
  </r>
  <r>
    <n v="269"/>
    <x v="95"/>
    <x v="27"/>
    <d v="2021-12-13T00:00:00"/>
    <x v="1"/>
    <x v="91"/>
    <x v="91"/>
    <x v="0"/>
    <x v="0"/>
    <x v="63"/>
    <x v="21"/>
    <n v="45231"/>
    <s v="East"/>
    <x v="145"/>
    <x v="0"/>
    <x v="1"/>
    <x v="145"/>
    <n v="37.207999999999998"/>
    <n v="1"/>
    <n v="0.2"/>
    <n v="29.766399999999997"/>
    <n v="-7.4416000000000011"/>
  </r>
  <r>
    <n v="270"/>
    <x v="95"/>
    <x v="27"/>
    <d v="2021-12-13T00:00:00"/>
    <x v="1"/>
    <x v="91"/>
    <x v="91"/>
    <x v="0"/>
    <x v="0"/>
    <x v="63"/>
    <x v="21"/>
    <n v="45231"/>
    <s v="East"/>
    <x v="146"/>
    <x v="0"/>
    <x v="6"/>
    <x v="146"/>
    <n v="57.576000000000001"/>
    <n v="3"/>
    <n v="0.2"/>
    <n v="138.1824"/>
    <n v="21.591000000000001"/>
  </r>
  <r>
    <n v="271"/>
    <x v="96"/>
    <x v="88"/>
    <d v="2018-01-02T00:00:00"/>
    <x v="0"/>
    <x v="92"/>
    <x v="92"/>
    <x v="0"/>
    <x v="0"/>
    <x v="7"/>
    <x v="0"/>
    <n v="94110"/>
    <s v="West"/>
    <x v="147"/>
    <x v="0"/>
    <x v="1"/>
    <x v="147"/>
    <n v="725.84"/>
    <n v="4"/>
    <n v="0"/>
    <n v="2903.36"/>
    <n v="210.4935999999999"/>
  </r>
  <r>
    <n v="274"/>
    <x v="97"/>
    <x v="89"/>
    <d v="2019-07-31T00:00:00"/>
    <x v="2"/>
    <x v="51"/>
    <x v="51"/>
    <x v="1"/>
    <x v="0"/>
    <x v="7"/>
    <x v="0"/>
    <n v="94109"/>
    <s v="West"/>
    <x v="148"/>
    <x v="0"/>
    <x v="3"/>
    <x v="148"/>
    <n v="10.92"/>
    <n v="3"/>
    <n v="0.2"/>
    <n v="26.207999999999998"/>
    <n v="4.0949999999999989"/>
  </r>
  <r>
    <n v="275"/>
    <x v="98"/>
    <x v="90"/>
    <d v="2021-09-17T00:00:00"/>
    <x v="2"/>
    <x v="93"/>
    <x v="93"/>
    <x v="0"/>
    <x v="0"/>
    <x v="64"/>
    <x v="0"/>
    <n v="90301"/>
    <s v="West"/>
    <x v="149"/>
    <x v="0"/>
    <x v="5"/>
    <x v="149"/>
    <n v="8.82"/>
    <n v="2"/>
    <n v="0"/>
    <n v="17.64"/>
    <n v="4.0571999999999999"/>
  </r>
  <r>
    <n v="276"/>
    <x v="98"/>
    <x v="90"/>
    <d v="2021-09-17T00:00:00"/>
    <x v="2"/>
    <x v="93"/>
    <x v="93"/>
    <x v="0"/>
    <x v="0"/>
    <x v="64"/>
    <x v="0"/>
    <n v="90301"/>
    <s v="West"/>
    <x v="150"/>
    <x v="0"/>
    <x v="2"/>
    <x v="150"/>
    <n v="5.98"/>
    <n v="1"/>
    <n v="0"/>
    <n v="5.98"/>
    <n v="1.5548000000000002"/>
  </r>
  <r>
    <n v="277"/>
    <x v="99"/>
    <x v="91"/>
    <d v="2021-10-17T00:00:00"/>
    <x v="1"/>
    <x v="94"/>
    <x v="94"/>
    <x v="0"/>
    <x v="0"/>
    <x v="9"/>
    <x v="8"/>
    <n v="19140"/>
    <s v="East"/>
    <x v="151"/>
    <x v="0"/>
    <x v="5"/>
    <x v="151"/>
    <n v="11.648000000000001"/>
    <n v="2"/>
    <n v="0.2"/>
    <n v="18.636800000000001"/>
    <n v="4.0768000000000004"/>
  </r>
  <r>
    <n v="278"/>
    <x v="99"/>
    <x v="91"/>
    <d v="2021-10-17T00:00:00"/>
    <x v="1"/>
    <x v="94"/>
    <x v="94"/>
    <x v="0"/>
    <x v="0"/>
    <x v="9"/>
    <x v="8"/>
    <n v="19140"/>
    <s v="East"/>
    <x v="152"/>
    <x v="0"/>
    <x v="5"/>
    <x v="152"/>
    <n v="18.175999999999998"/>
    <n v="4"/>
    <n v="0.2"/>
    <n v="58.163199999999996"/>
    <n v="5.9071999999999987"/>
  </r>
  <r>
    <n v="279"/>
    <x v="99"/>
    <x v="91"/>
    <d v="2021-10-17T00:00:00"/>
    <x v="1"/>
    <x v="94"/>
    <x v="94"/>
    <x v="0"/>
    <x v="0"/>
    <x v="9"/>
    <x v="8"/>
    <n v="19140"/>
    <s v="East"/>
    <x v="153"/>
    <x v="0"/>
    <x v="1"/>
    <x v="153"/>
    <n v="59.712000000000003"/>
    <n v="6"/>
    <n v="0.2"/>
    <n v="286.61760000000004"/>
    <n v="5.9711999999999996"/>
  </r>
  <r>
    <n v="280"/>
    <x v="99"/>
    <x v="91"/>
    <d v="2021-10-17T00:00:00"/>
    <x v="1"/>
    <x v="94"/>
    <x v="94"/>
    <x v="0"/>
    <x v="0"/>
    <x v="9"/>
    <x v="8"/>
    <n v="19140"/>
    <s v="East"/>
    <x v="154"/>
    <x v="0"/>
    <x v="0"/>
    <x v="154"/>
    <n v="24.839999999999996"/>
    <n v="3"/>
    <n v="0.2"/>
    <n v="59.615999999999985"/>
    <n v="8.6940000000000008"/>
  </r>
  <r>
    <n v="281"/>
    <x v="100"/>
    <x v="92"/>
    <d v="2019-09-28T00:00:00"/>
    <x v="0"/>
    <x v="45"/>
    <x v="45"/>
    <x v="1"/>
    <x v="0"/>
    <x v="10"/>
    <x v="4"/>
    <n v="77070"/>
    <s v="Central"/>
    <x v="155"/>
    <x v="0"/>
    <x v="3"/>
    <x v="155"/>
    <n v="2.0799999999999996"/>
    <n v="5"/>
    <n v="0.8"/>
    <n v="2.08"/>
    <n v="-3.4320000000000004"/>
  </r>
  <r>
    <n v="284"/>
    <x v="101"/>
    <x v="92"/>
    <d v="2019-10-02T00:00:00"/>
    <x v="1"/>
    <x v="11"/>
    <x v="11"/>
    <x v="1"/>
    <x v="0"/>
    <x v="26"/>
    <x v="18"/>
    <n v="97206"/>
    <s v="West"/>
    <x v="156"/>
    <x v="0"/>
    <x v="5"/>
    <x v="21"/>
    <n v="141.76"/>
    <n v="5"/>
    <n v="0.2"/>
    <n v="567.04"/>
    <n v="47.843999999999994"/>
  </r>
  <r>
    <n v="286"/>
    <x v="101"/>
    <x v="92"/>
    <d v="2019-10-02T00:00:00"/>
    <x v="1"/>
    <x v="11"/>
    <x v="11"/>
    <x v="1"/>
    <x v="0"/>
    <x v="26"/>
    <x v="18"/>
    <n v="97206"/>
    <s v="West"/>
    <x v="157"/>
    <x v="0"/>
    <x v="5"/>
    <x v="156"/>
    <n v="31.104000000000006"/>
    <n v="6"/>
    <n v="0.2"/>
    <n v="149.29920000000001"/>
    <n v="10.8864"/>
  </r>
  <r>
    <n v="287"/>
    <x v="102"/>
    <x v="93"/>
    <d v="2020-12-20T00:00:00"/>
    <x v="0"/>
    <x v="95"/>
    <x v="95"/>
    <x v="0"/>
    <x v="0"/>
    <x v="65"/>
    <x v="1"/>
    <n v="33319"/>
    <s v="South"/>
    <x v="158"/>
    <x v="0"/>
    <x v="3"/>
    <x v="157"/>
    <n v="254.05800000000002"/>
    <n v="7"/>
    <n v="0.7"/>
    <n v="533.52180000000021"/>
    <n v="-169.3719999999999"/>
  </r>
  <r>
    <n v="288"/>
    <x v="102"/>
    <x v="93"/>
    <d v="2020-12-20T00:00:00"/>
    <x v="0"/>
    <x v="95"/>
    <x v="95"/>
    <x v="0"/>
    <x v="0"/>
    <x v="65"/>
    <x v="1"/>
    <n v="33319"/>
    <s v="South"/>
    <x v="105"/>
    <x v="0"/>
    <x v="4"/>
    <x v="105"/>
    <n v="194.52800000000002"/>
    <n v="2"/>
    <n v="0.2"/>
    <n v="311.24480000000005"/>
    <n v="24.315999999999974"/>
  </r>
  <r>
    <n v="289"/>
    <x v="102"/>
    <x v="93"/>
    <d v="2020-12-20T00:00:00"/>
    <x v="0"/>
    <x v="95"/>
    <x v="95"/>
    <x v="0"/>
    <x v="0"/>
    <x v="65"/>
    <x v="1"/>
    <n v="33319"/>
    <s v="South"/>
    <x v="159"/>
    <x v="0"/>
    <x v="8"/>
    <x v="158"/>
    <n v="961.48000000000013"/>
    <n v="5"/>
    <n v="0.2"/>
    <n v="3845.9200000000005"/>
    <n v="-204.31449999999995"/>
  </r>
  <r>
    <n v="290"/>
    <x v="103"/>
    <x v="54"/>
    <d v="2020-11-24T00:00:00"/>
    <x v="0"/>
    <x v="96"/>
    <x v="96"/>
    <x v="2"/>
    <x v="0"/>
    <x v="31"/>
    <x v="21"/>
    <n v="43229"/>
    <s v="East"/>
    <x v="160"/>
    <x v="0"/>
    <x v="7"/>
    <x v="159"/>
    <n v="19.096"/>
    <n v="7"/>
    <n v="0.2"/>
    <n v="106.9376"/>
    <n v="6.6835999999999993"/>
  </r>
  <r>
    <n v="291"/>
    <x v="103"/>
    <x v="54"/>
    <d v="2020-11-24T00:00:00"/>
    <x v="0"/>
    <x v="96"/>
    <x v="96"/>
    <x v="2"/>
    <x v="0"/>
    <x v="31"/>
    <x v="21"/>
    <n v="43229"/>
    <s v="East"/>
    <x v="161"/>
    <x v="0"/>
    <x v="0"/>
    <x v="160"/>
    <n v="18.496000000000002"/>
    <n v="8"/>
    <n v="0.2"/>
    <n v="118.37440000000001"/>
    <n v="6.2423999999999999"/>
  </r>
  <r>
    <n v="297"/>
    <x v="104"/>
    <x v="94"/>
    <d v="2018-12-28T00:00:00"/>
    <x v="2"/>
    <x v="97"/>
    <x v="97"/>
    <x v="0"/>
    <x v="0"/>
    <x v="66"/>
    <x v="19"/>
    <n v="80906"/>
    <s v="West"/>
    <x v="162"/>
    <x v="0"/>
    <x v="3"/>
    <x v="161"/>
    <n v="78.600000000000009"/>
    <n v="5"/>
    <n v="0.7"/>
    <n v="117.90000000000003"/>
    <n v="-62.88000000000001"/>
  </r>
  <r>
    <n v="298"/>
    <x v="104"/>
    <x v="94"/>
    <d v="2018-12-28T00:00:00"/>
    <x v="2"/>
    <x v="97"/>
    <x v="97"/>
    <x v="0"/>
    <x v="0"/>
    <x v="66"/>
    <x v="19"/>
    <n v="80906"/>
    <s v="West"/>
    <x v="163"/>
    <x v="0"/>
    <x v="7"/>
    <x v="162"/>
    <n v="27.552000000000003"/>
    <n v="3"/>
    <n v="0.2"/>
    <n v="66.124800000000008"/>
    <n v="9.2987999999999964"/>
  </r>
  <r>
    <n v="299"/>
    <x v="105"/>
    <x v="75"/>
    <d v="2020-11-03T00:00:00"/>
    <x v="1"/>
    <x v="98"/>
    <x v="98"/>
    <x v="0"/>
    <x v="0"/>
    <x v="67"/>
    <x v="27"/>
    <n v="7109"/>
    <s v="East"/>
    <x v="164"/>
    <x v="0"/>
    <x v="5"/>
    <x v="163"/>
    <n v="32.400000000000006"/>
    <n v="5"/>
    <n v="0"/>
    <n v="162.00000000000003"/>
    <n v="15.552000000000001"/>
  </r>
  <r>
    <n v="300"/>
    <x v="105"/>
    <x v="75"/>
    <d v="2020-11-03T00:00:00"/>
    <x v="1"/>
    <x v="98"/>
    <x v="98"/>
    <x v="0"/>
    <x v="0"/>
    <x v="67"/>
    <x v="27"/>
    <n v="7109"/>
    <s v="East"/>
    <x v="165"/>
    <x v="0"/>
    <x v="1"/>
    <x v="164"/>
    <n v="1082.48"/>
    <n v="8"/>
    <n v="0"/>
    <n v="8659.84"/>
    <n v="10.824800000000096"/>
  </r>
  <r>
    <n v="301"/>
    <x v="105"/>
    <x v="75"/>
    <d v="2020-11-03T00:00:00"/>
    <x v="1"/>
    <x v="98"/>
    <x v="98"/>
    <x v="0"/>
    <x v="0"/>
    <x v="67"/>
    <x v="27"/>
    <n v="7109"/>
    <s v="East"/>
    <x v="166"/>
    <x v="0"/>
    <x v="5"/>
    <x v="165"/>
    <n v="56.91"/>
    <n v="3"/>
    <n v="0"/>
    <n v="170.73"/>
    <n v="27.316799999999997"/>
  </r>
  <r>
    <n v="303"/>
    <x v="105"/>
    <x v="75"/>
    <d v="2020-11-03T00:00:00"/>
    <x v="1"/>
    <x v="98"/>
    <x v="98"/>
    <x v="0"/>
    <x v="0"/>
    <x v="67"/>
    <x v="27"/>
    <n v="7109"/>
    <s v="East"/>
    <x v="167"/>
    <x v="0"/>
    <x v="3"/>
    <x v="166"/>
    <n v="14.28"/>
    <n v="1"/>
    <n v="0"/>
    <n v="14.28"/>
    <n v="6.5687999999999995"/>
  </r>
  <r>
    <n v="306"/>
    <x v="106"/>
    <x v="95"/>
    <d v="2019-01-04T00:00:00"/>
    <x v="1"/>
    <x v="26"/>
    <x v="26"/>
    <x v="0"/>
    <x v="0"/>
    <x v="68"/>
    <x v="10"/>
    <n v="48180"/>
    <s v="Central"/>
    <x v="168"/>
    <x v="0"/>
    <x v="2"/>
    <x v="167"/>
    <n v="9.84"/>
    <n v="3"/>
    <n v="0"/>
    <n v="29.52"/>
    <n v="2.8535999999999988"/>
  </r>
  <r>
    <n v="307"/>
    <x v="107"/>
    <x v="81"/>
    <d v="2018-06-06T00:00:00"/>
    <x v="1"/>
    <x v="99"/>
    <x v="99"/>
    <x v="2"/>
    <x v="0"/>
    <x v="69"/>
    <x v="27"/>
    <n v="8701"/>
    <s v="East"/>
    <x v="169"/>
    <x v="0"/>
    <x v="3"/>
    <x v="168"/>
    <n v="45.480000000000004"/>
    <n v="3"/>
    <n v="0"/>
    <n v="136.44"/>
    <n v="20.9208"/>
  </r>
  <r>
    <n v="308"/>
    <x v="107"/>
    <x v="81"/>
    <d v="2018-06-06T00:00:00"/>
    <x v="1"/>
    <x v="99"/>
    <x v="99"/>
    <x v="2"/>
    <x v="0"/>
    <x v="69"/>
    <x v="27"/>
    <n v="8701"/>
    <s v="East"/>
    <x v="170"/>
    <x v="0"/>
    <x v="2"/>
    <x v="169"/>
    <n v="289.20000000000005"/>
    <n v="6"/>
    <n v="0"/>
    <n v="1735.2000000000003"/>
    <n v="83.867999999999967"/>
  </r>
  <r>
    <n v="309"/>
    <x v="108"/>
    <x v="3"/>
    <d v="2021-04-17T00:00:00"/>
    <x v="2"/>
    <x v="100"/>
    <x v="100"/>
    <x v="1"/>
    <x v="0"/>
    <x v="70"/>
    <x v="14"/>
    <n v="22204"/>
    <s v="South"/>
    <x v="171"/>
    <x v="0"/>
    <x v="2"/>
    <x v="170"/>
    <n v="4.8899999999999997"/>
    <n v="1"/>
    <n v="0"/>
    <n v="4.8899999999999997"/>
    <n v="2.0049000000000001"/>
  </r>
  <r>
    <n v="313"/>
    <x v="109"/>
    <x v="96"/>
    <d v="2020-09-14T00:00:00"/>
    <x v="0"/>
    <x v="101"/>
    <x v="101"/>
    <x v="0"/>
    <x v="0"/>
    <x v="71"/>
    <x v="19"/>
    <n v="80004"/>
    <s v="West"/>
    <x v="172"/>
    <x v="0"/>
    <x v="0"/>
    <x v="171"/>
    <n v="6.2640000000000002"/>
    <n v="3"/>
    <n v="0.2"/>
    <n v="15.033600000000002"/>
    <n v="2.0358000000000001"/>
  </r>
  <r>
    <n v="316"/>
    <x v="110"/>
    <x v="97"/>
    <d v="2018-08-16T00:00:00"/>
    <x v="1"/>
    <x v="102"/>
    <x v="102"/>
    <x v="0"/>
    <x v="0"/>
    <x v="72"/>
    <x v="1"/>
    <n v="33710"/>
    <s v="South"/>
    <x v="173"/>
    <x v="0"/>
    <x v="5"/>
    <x v="172"/>
    <n v="15.552000000000003"/>
    <n v="3"/>
    <n v="0.2"/>
    <n v="37.324800000000003"/>
    <n v="5.4432"/>
  </r>
  <r>
    <n v="317"/>
    <x v="111"/>
    <x v="98"/>
    <d v="2018-12-30T00:00:00"/>
    <x v="2"/>
    <x v="103"/>
    <x v="103"/>
    <x v="0"/>
    <x v="0"/>
    <x v="9"/>
    <x v="8"/>
    <n v="19143"/>
    <s v="East"/>
    <x v="174"/>
    <x v="0"/>
    <x v="2"/>
    <x v="173"/>
    <n v="99.13600000000001"/>
    <n v="4"/>
    <n v="0.2"/>
    <n v="317.23520000000002"/>
    <n v="8.674399999999995"/>
  </r>
  <r>
    <n v="322"/>
    <x v="112"/>
    <x v="99"/>
    <d v="2018-11-09T00:00:00"/>
    <x v="1"/>
    <x v="104"/>
    <x v="104"/>
    <x v="2"/>
    <x v="0"/>
    <x v="15"/>
    <x v="12"/>
    <n v="10024"/>
    <s v="East"/>
    <x v="74"/>
    <x v="0"/>
    <x v="1"/>
    <x v="74"/>
    <n v="43.57"/>
    <n v="1"/>
    <n v="0"/>
    <n v="43.57"/>
    <n v="13.070999999999998"/>
  </r>
  <r>
    <n v="323"/>
    <x v="113"/>
    <x v="100"/>
    <d v="2018-09-24T00:00:00"/>
    <x v="1"/>
    <x v="105"/>
    <x v="105"/>
    <x v="0"/>
    <x v="0"/>
    <x v="73"/>
    <x v="0"/>
    <n v="90805"/>
    <s v="West"/>
    <x v="175"/>
    <x v="0"/>
    <x v="7"/>
    <x v="174"/>
    <n v="7.16"/>
    <n v="2"/>
    <n v="0"/>
    <n v="14.32"/>
    <n v="3.58"/>
  </r>
  <r>
    <n v="324"/>
    <x v="114"/>
    <x v="101"/>
    <d v="2020-04-27T00:00:00"/>
    <x v="1"/>
    <x v="106"/>
    <x v="106"/>
    <x v="0"/>
    <x v="0"/>
    <x v="74"/>
    <x v="0"/>
    <n v="92345"/>
    <s v="West"/>
    <x v="162"/>
    <x v="0"/>
    <x v="3"/>
    <x v="161"/>
    <n v="251.52"/>
    <n v="6"/>
    <n v="0.2"/>
    <n v="1207.296"/>
    <n v="81.744"/>
  </r>
  <r>
    <n v="328"/>
    <x v="115"/>
    <x v="102"/>
    <d v="2020-09-01T00:00:00"/>
    <x v="2"/>
    <x v="107"/>
    <x v="107"/>
    <x v="1"/>
    <x v="0"/>
    <x v="9"/>
    <x v="8"/>
    <n v="19143"/>
    <s v="East"/>
    <x v="176"/>
    <x v="0"/>
    <x v="1"/>
    <x v="175"/>
    <n v="54.224000000000004"/>
    <n v="2"/>
    <n v="0.2"/>
    <n v="86.758400000000009"/>
    <n v="3.3889999999999993"/>
  </r>
  <r>
    <n v="330"/>
    <x v="115"/>
    <x v="102"/>
    <d v="2020-09-01T00:00:00"/>
    <x v="2"/>
    <x v="107"/>
    <x v="107"/>
    <x v="1"/>
    <x v="0"/>
    <x v="9"/>
    <x v="8"/>
    <n v="19143"/>
    <s v="East"/>
    <x v="177"/>
    <x v="0"/>
    <x v="0"/>
    <x v="176"/>
    <n v="100.24000000000001"/>
    <n v="10"/>
    <n v="0.2"/>
    <n v="801.92000000000007"/>
    <n v="33.830999999999989"/>
  </r>
  <r>
    <n v="331"/>
    <x v="115"/>
    <x v="102"/>
    <d v="2020-09-01T00:00:00"/>
    <x v="2"/>
    <x v="107"/>
    <x v="107"/>
    <x v="1"/>
    <x v="0"/>
    <x v="9"/>
    <x v="8"/>
    <n v="19143"/>
    <s v="East"/>
    <x v="178"/>
    <x v="0"/>
    <x v="3"/>
    <x v="177"/>
    <n v="37.76400000000001"/>
    <n v="6"/>
    <n v="0.7"/>
    <n v="67.975200000000029"/>
    <n v="-27.693600000000004"/>
  </r>
  <r>
    <n v="333"/>
    <x v="116"/>
    <x v="103"/>
    <d v="2020-04-29T00:00:00"/>
    <x v="0"/>
    <x v="108"/>
    <x v="108"/>
    <x v="1"/>
    <x v="0"/>
    <x v="9"/>
    <x v="8"/>
    <n v="19134"/>
    <s v="East"/>
    <x v="179"/>
    <x v="0"/>
    <x v="3"/>
    <x v="178"/>
    <n v="20.724000000000004"/>
    <n v="2"/>
    <n v="0.7"/>
    <n v="12.434400000000004"/>
    <n v="-13.815999999999995"/>
  </r>
  <r>
    <n v="334"/>
    <x v="116"/>
    <x v="103"/>
    <d v="2020-04-29T00:00:00"/>
    <x v="0"/>
    <x v="108"/>
    <x v="108"/>
    <x v="1"/>
    <x v="0"/>
    <x v="9"/>
    <x v="8"/>
    <n v="19134"/>
    <s v="East"/>
    <x v="180"/>
    <x v="0"/>
    <x v="3"/>
    <x v="179"/>
    <n v="4.8960000000000008"/>
    <n v="3"/>
    <n v="0.7"/>
    <n v="4.4064000000000014"/>
    <n v="-3.4271999999999991"/>
  </r>
  <r>
    <n v="335"/>
    <x v="117"/>
    <x v="104"/>
    <d v="2019-09-04T00:00:00"/>
    <x v="0"/>
    <x v="109"/>
    <x v="109"/>
    <x v="1"/>
    <x v="0"/>
    <x v="0"/>
    <x v="0"/>
    <n v="90045"/>
    <s v="West"/>
    <x v="181"/>
    <x v="0"/>
    <x v="3"/>
    <x v="180"/>
    <n v="4.7520000000000007"/>
    <n v="1"/>
    <n v="0.2"/>
    <n v="3.8016000000000005"/>
    <n v="1.6037999999999997"/>
  </r>
  <r>
    <n v="337"/>
    <x v="117"/>
    <x v="104"/>
    <d v="2019-09-04T00:00:00"/>
    <x v="0"/>
    <x v="109"/>
    <x v="109"/>
    <x v="1"/>
    <x v="0"/>
    <x v="0"/>
    <x v="0"/>
    <n v="90045"/>
    <s v="West"/>
    <x v="182"/>
    <x v="0"/>
    <x v="3"/>
    <x v="181"/>
    <n v="14.368000000000002"/>
    <n v="4"/>
    <n v="0.2"/>
    <n v="45.97760000000001"/>
    <n v="4.4899999999999984"/>
  </r>
  <r>
    <n v="338"/>
    <x v="118"/>
    <x v="105"/>
    <d v="2018-07-17T00:00:00"/>
    <x v="1"/>
    <x v="110"/>
    <x v="110"/>
    <x v="0"/>
    <x v="0"/>
    <x v="7"/>
    <x v="0"/>
    <n v="94122"/>
    <s v="West"/>
    <x v="183"/>
    <x v="0"/>
    <x v="3"/>
    <x v="182"/>
    <n v="7.7120000000000006"/>
    <n v="2"/>
    <n v="0.2"/>
    <n v="12.339200000000002"/>
    <n v="2.7956000000000003"/>
  </r>
  <r>
    <n v="340"/>
    <x v="119"/>
    <x v="106"/>
    <d v="2019-06-26T00:00:00"/>
    <x v="0"/>
    <x v="83"/>
    <x v="83"/>
    <x v="1"/>
    <x v="0"/>
    <x v="75"/>
    <x v="6"/>
    <n v="84041"/>
    <s v="West"/>
    <x v="184"/>
    <x v="0"/>
    <x v="7"/>
    <x v="183"/>
    <n v="4.96"/>
    <n v="4"/>
    <n v="0"/>
    <n v="19.84"/>
    <n v="2.3311999999999999"/>
  </r>
  <r>
    <n v="341"/>
    <x v="120"/>
    <x v="107"/>
    <d v="2018-04-17T00:00:00"/>
    <x v="0"/>
    <x v="98"/>
    <x v="98"/>
    <x v="0"/>
    <x v="0"/>
    <x v="9"/>
    <x v="8"/>
    <n v="19140"/>
    <s v="East"/>
    <x v="185"/>
    <x v="0"/>
    <x v="2"/>
    <x v="184"/>
    <n v="17.856000000000002"/>
    <n v="4"/>
    <n v="0.2"/>
    <n v="57.139200000000002"/>
    <n v="1.1159999999999979"/>
  </r>
  <r>
    <n v="342"/>
    <x v="120"/>
    <x v="107"/>
    <d v="2018-04-17T00:00:00"/>
    <x v="0"/>
    <x v="98"/>
    <x v="98"/>
    <x v="0"/>
    <x v="0"/>
    <x v="9"/>
    <x v="8"/>
    <n v="19140"/>
    <s v="East"/>
    <x v="6"/>
    <x v="0"/>
    <x v="3"/>
    <x v="6"/>
    <n v="509.97000000000008"/>
    <n v="10"/>
    <n v="0.7"/>
    <n v="1529.9100000000003"/>
    <n v="-407.97599999999989"/>
  </r>
  <r>
    <n v="343"/>
    <x v="120"/>
    <x v="107"/>
    <d v="2018-04-17T00:00:00"/>
    <x v="0"/>
    <x v="98"/>
    <x v="98"/>
    <x v="0"/>
    <x v="0"/>
    <x v="9"/>
    <x v="8"/>
    <n v="19140"/>
    <s v="East"/>
    <x v="76"/>
    <x v="0"/>
    <x v="7"/>
    <x v="76"/>
    <n v="30.991999999999997"/>
    <n v="13"/>
    <n v="0.2"/>
    <n v="322.31679999999994"/>
    <n v="10.072399999999996"/>
  </r>
  <r>
    <n v="345"/>
    <x v="121"/>
    <x v="108"/>
    <d v="2019-12-24T00:00:00"/>
    <x v="1"/>
    <x v="61"/>
    <x v="61"/>
    <x v="1"/>
    <x v="0"/>
    <x v="76"/>
    <x v="4"/>
    <n v="78745"/>
    <s v="Central"/>
    <x v="10"/>
    <x v="0"/>
    <x v="1"/>
    <x v="10"/>
    <n v="88.800000000000011"/>
    <n v="4"/>
    <n v="0.2"/>
    <n v="284.16000000000003"/>
    <n v="-2.2200000000000131"/>
  </r>
  <r>
    <n v="347"/>
    <x v="122"/>
    <x v="109"/>
    <d v="2021-07-12T00:00:00"/>
    <x v="1"/>
    <x v="111"/>
    <x v="111"/>
    <x v="1"/>
    <x v="0"/>
    <x v="77"/>
    <x v="28"/>
    <n v="1852"/>
    <s v="East"/>
    <x v="114"/>
    <x v="0"/>
    <x v="2"/>
    <x v="114"/>
    <n v="7.5600000000000005"/>
    <n v="3"/>
    <n v="0"/>
    <n v="22.68"/>
    <n v="3.0996000000000006"/>
  </r>
  <r>
    <n v="348"/>
    <x v="122"/>
    <x v="109"/>
    <d v="2021-07-12T00:00:00"/>
    <x v="1"/>
    <x v="111"/>
    <x v="111"/>
    <x v="1"/>
    <x v="0"/>
    <x v="77"/>
    <x v="28"/>
    <n v="1852"/>
    <s v="East"/>
    <x v="21"/>
    <x v="0"/>
    <x v="5"/>
    <x v="21"/>
    <n v="24.56"/>
    <n v="2"/>
    <n v="0"/>
    <n v="49.12"/>
    <n v="11.543199999999999"/>
  </r>
  <r>
    <n v="349"/>
    <x v="122"/>
    <x v="109"/>
    <d v="2021-07-12T00:00:00"/>
    <x v="1"/>
    <x v="111"/>
    <x v="111"/>
    <x v="1"/>
    <x v="0"/>
    <x v="77"/>
    <x v="28"/>
    <n v="1852"/>
    <s v="East"/>
    <x v="186"/>
    <x v="0"/>
    <x v="2"/>
    <x v="185"/>
    <n v="12.96"/>
    <n v="2"/>
    <n v="0"/>
    <n v="25.92"/>
    <n v="4.1471999999999998"/>
  </r>
  <r>
    <n v="351"/>
    <x v="123"/>
    <x v="110"/>
    <d v="2020-09-03T00:00:00"/>
    <x v="2"/>
    <x v="112"/>
    <x v="112"/>
    <x v="2"/>
    <x v="0"/>
    <x v="15"/>
    <x v="12"/>
    <n v="10009"/>
    <s v="East"/>
    <x v="187"/>
    <x v="0"/>
    <x v="5"/>
    <x v="186"/>
    <n v="24.56"/>
    <n v="2"/>
    <n v="0"/>
    <n v="49.12"/>
    <n v="11.543199999999999"/>
  </r>
  <r>
    <n v="352"/>
    <x v="123"/>
    <x v="110"/>
    <d v="2020-09-03T00:00:00"/>
    <x v="2"/>
    <x v="112"/>
    <x v="112"/>
    <x v="2"/>
    <x v="0"/>
    <x v="15"/>
    <x v="12"/>
    <n v="10009"/>
    <s v="East"/>
    <x v="188"/>
    <x v="0"/>
    <x v="3"/>
    <x v="187"/>
    <n v="3.048"/>
    <n v="1"/>
    <n v="0.2"/>
    <n v="2.4384000000000001"/>
    <n v="1.0668"/>
  </r>
  <r>
    <n v="353"/>
    <x v="123"/>
    <x v="110"/>
    <d v="2020-09-03T00:00:00"/>
    <x v="2"/>
    <x v="112"/>
    <x v="112"/>
    <x v="2"/>
    <x v="0"/>
    <x v="15"/>
    <x v="12"/>
    <n v="10009"/>
    <s v="East"/>
    <x v="187"/>
    <x v="0"/>
    <x v="5"/>
    <x v="186"/>
    <n v="49.12"/>
    <n v="4"/>
    <n v="0"/>
    <n v="196.48"/>
    <n v="23.086399999999998"/>
  </r>
  <r>
    <n v="354"/>
    <x v="123"/>
    <x v="110"/>
    <d v="2020-09-03T00:00:00"/>
    <x v="2"/>
    <x v="112"/>
    <x v="112"/>
    <x v="2"/>
    <x v="0"/>
    <x v="15"/>
    <x v="12"/>
    <n v="10009"/>
    <s v="East"/>
    <x v="189"/>
    <x v="0"/>
    <x v="3"/>
    <x v="188"/>
    <n v="4355.1680000000006"/>
    <n v="4"/>
    <n v="0.2"/>
    <n v="13936.537600000001"/>
    <n v="1415.4295999999997"/>
  </r>
  <r>
    <n v="356"/>
    <x v="124"/>
    <x v="111"/>
    <d v="2020-04-13T00:00:00"/>
    <x v="1"/>
    <x v="113"/>
    <x v="113"/>
    <x v="1"/>
    <x v="0"/>
    <x v="15"/>
    <x v="12"/>
    <n v="10035"/>
    <s v="East"/>
    <x v="190"/>
    <x v="0"/>
    <x v="6"/>
    <x v="189"/>
    <n v="8.26"/>
    <n v="2"/>
    <n v="0"/>
    <n v="16.52"/>
    <n v="3.7995999999999999"/>
  </r>
  <r>
    <n v="357"/>
    <x v="124"/>
    <x v="111"/>
    <d v="2020-04-13T00:00:00"/>
    <x v="1"/>
    <x v="113"/>
    <x v="113"/>
    <x v="1"/>
    <x v="0"/>
    <x v="15"/>
    <x v="12"/>
    <n v="10035"/>
    <s v="East"/>
    <x v="191"/>
    <x v="0"/>
    <x v="2"/>
    <x v="190"/>
    <n v="17.04"/>
    <n v="4"/>
    <n v="0"/>
    <n v="68.16"/>
    <n v="6.9863999999999997"/>
  </r>
  <r>
    <n v="358"/>
    <x v="124"/>
    <x v="111"/>
    <d v="2020-04-13T00:00:00"/>
    <x v="1"/>
    <x v="113"/>
    <x v="113"/>
    <x v="1"/>
    <x v="0"/>
    <x v="15"/>
    <x v="12"/>
    <n v="10035"/>
    <s v="East"/>
    <x v="192"/>
    <x v="0"/>
    <x v="5"/>
    <x v="191"/>
    <n v="34.4"/>
    <n v="5"/>
    <n v="0"/>
    <n v="172"/>
    <n v="15.823999999999998"/>
  </r>
  <r>
    <n v="359"/>
    <x v="125"/>
    <x v="101"/>
    <d v="2020-04-28T00:00:00"/>
    <x v="1"/>
    <x v="114"/>
    <x v="114"/>
    <x v="0"/>
    <x v="0"/>
    <x v="29"/>
    <x v="2"/>
    <n v="28205"/>
    <s v="South"/>
    <x v="118"/>
    <x v="0"/>
    <x v="5"/>
    <x v="118"/>
    <n v="36.240000000000009"/>
    <n v="5"/>
    <n v="0.2"/>
    <n v="144.96000000000004"/>
    <n v="11.324999999999996"/>
  </r>
  <r>
    <n v="360"/>
    <x v="126"/>
    <x v="112"/>
    <d v="2021-03-11T00:00:00"/>
    <x v="2"/>
    <x v="115"/>
    <x v="115"/>
    <x v="0"/>
    <x v="0"/>
    <x v="31"/>
    <x v="29"/>
    <n v="31907"/>
    <s v="South"/>
    <x v="193"/>
    <x v="0"/>
    <x v="4"/>
    <x v="192"/>
    <n v="647.84"/>
    <n v="8"/>
    <n v="0"/>
    <n v="5182.72"/>
    <n v="168.4384"/>
  </r>
  <r>
    <n v="361"/>
    <x v="126"/>
    <x v="112"/>
    <d v="2021-03-11T00:00:00"/>
    <x v="2"/>
    <x v="115"/>
    <x v="115"/>
    <x v="0"/>
    <x v="0"/>
    <x v="31"/>
    <x v="29"/>
    <n v="31907"/>
    <s v="South"/>
    <x v="194"/>
    <x v="0"/>
    <x v="0"/>
    <x v="193"/>
    <n v="20.7"/>
    <n v="2"/>
    <n v="0"/>
    <n v="41.4"/>
    <n v="9.9359999999999999"/>
  </r>
  <r>
    <n v="362"/>
    <x v="127"/>
    <x v="113"/>
    <d v="2021-10-01T00:00:00"/>
    <x v="1"/>
    <x v="116"/>
    <x v="116"/>
    <x v="1"/>
    <x v="0"/>
    <x v="15"/>
    <x v="12"/>
    <n v="10009"/>
    <s v="East"/>
    <x v="194"/>
    <x v="0"/>
    <x v="0"/>
    <x v="193"/>
    <n v="20.7"/>
    <n v="2"/>
    <n v="0"/>
    <n v="41.4"/>
    <n v="9.9359999999999999"/>
  </r>
  <r>
    <n v="364"/>
    <x v="127"/>
    <x v="113"/>
    <d v="2021-10-01T00:00:00"/>
    <x v="1"/>
    <x v="116"/>
    <x v="116"/>
    <x v="1"/>
    <x v="0"/>
    <x v="15"/>
    <x v="12"/>
    <n v="10009"/>
    <s v="East"/>
    <x v="195"/>
    <x v="0"/>
    <x v="2"/>
    <x v="194"/>
    <n v="5.56"/>
    <n v="2"/>
    <n v="0"/>
    <n v="11.12"/>
    <n v="1.4455999999999998"/>
  </r>
  <r>
    <n v="366"/>
    <x v="128"/>
    <x v="114"/>
    <d v="2018-09-29T00:00:00"/>
    <x v="1"/>
    <x v="117"/>
    <x v="117"/>
    <x v="1"/>
    <x v="0"/>
    <x v="7"/>
    <x v="0"/>
    <n v="94109"/>
    <s v="West"/>
    <x v="26"/>
    <x v="0"/>
    <x v="1"/>
    <x v="26"/>
    <n v="211.96"/>
    <n v="4"/>
    <n v="0"/>
    <n v="847.84"/>
    <n v="8.4783999999999935"/>
  </r>
  <r>
    <n v="367"/>
    <x v="129"/>
    <x v="115"/>
    <d v="2020-10-21T00:00:00"/>
    <x v="3"/>
    <x v="118"/>
    <x v="118"/>
    <x v="0"/>
    <x v="0"/>
    <x v="78"/>
    <x v="26"/>
    <n v="6040"/>
    <s v="East"/>
    <x v="196"/>
    <x v="0"/>
    <x v="3"/>
    <x v="195"/>
    <n v="23.2"/>
    <n v="4"/>
    <n v="0"/>
    <n v="92.8"/>
    <n v="10.44"/>
  </r>
  <r>
    <n v="368"/>
    <x v="129"/>
    <x v="115"/>
    <d v="2020-10-21T00:00:00"/>
    <x v="3"/>
    <x v="118"/>
    <x v="118"/>
    <x v="0"/>
    <x v="0"/>
    <x v="78"/>
    <x v="26"/>
    <n v="6040"/>
    <s v="East"/>
    <x v="197"/>
    <x v="0"/>
    <x v="8"/>
    <x v="196"/>
    <n v="7.36"/>
    <n v="2"/>
    <n v="0"/>
    <n v="14.72"/>
    <n v="0.14719999999999978"/>
  </r>
  <r>
    <n v="369"/>
    <x v="129"/>
    <x v="115"/>
    <d v="2020-10-21T00:00:00"/>
    <x v="3"/>
    <x v="118"/>
    <x v="118"/>
    <x v="0"/>
    <x v="0"/>
    <x v="78"/>
    <x v="26"/>
    <n v="6040"/>
    <s v="East"/>
    <x v="198"/>
    <x v="0"/>
    <x v="1"/>
    <x v="197"/>
    <n v="104.79"/>
    <n v="7"/>
    <n v="0"/>
    <n v="733.53000000000009"/>
    <n v="29.341200000000008"/>
  </r>
  <r>
    <n v="371"/>
    <x v="130"/>
    <x v="116"/>
    <d v="2021-06-04T00:00:00"/>
    <x v="1"/>
    <x v="119"/>
    <x v="119"/>
    <x v="1"/>
    <x v="0"/>
    <x v="79"/>
    <x v="4"/>
    <n v="78550"/>
    <s v="Central"/>
    <x v="199"/>
    <x v="0"/>
    <x v="5"/>
    <x v="198"/>
    <n v="25.920000000000005"/>
    <n v="5"/>
    <n v="0.2"/>
    <n v="103.68000000000002"/>
    <n v="9.3960000000000008"/>
  </r>
  <r>
    <n v="372"/>
    <x v="130"/>
    <x v="116"/>
    <d v="2021-06-04T00:00:00"/>
    <x v="1"/>
    <x v="119"/>
    <x v="119"/>
    <x v="1"/>
    <x v="0"/>
    <x v="79"/>
    <x v="4"/>
    <n v="78550"/>
    <s v="Central"/>
    <x v="200"/>
    <x v="0"/>
    <x v="1"/>
    <x v="199"/>
    <n v="53.424000000000007"/>
    <n v="3"/>
    <n v="0.2"/>
    <n v="128.2176"/>
    <n v="4.6746000000000016"/>
  </r>
  <r>
    <n v="373"/>
    <x v="131"/>
    <x v="117"/>
    <d v="2018-07-27T00:00:00"/>
    <x v="1"/>
    <x v="120"/>
    <x v="120"/>
    <x v="1"/>
    <x v="0"/>
    <x v="80"/>
    <x v="13"/>
    <n v="85705"/>
    <s v="West"/>
    <x v="180"/>
    <x v="0"/>
    <x v="3"/>
    <x v="179"/>
    <n v="8.1600000000000019"/>
    <n v="5"/>
    <n v="0.7"/>
    <n v="12.240000000000006"/>
    <n v="-5.7119999999999997"/>
  </r>
  <r>
    <n v="375"/>
    <x v="131"/>
    <x v="117"/>
    <d v="2018-07-27T00:00:00"/>
    <x v="1"/>
    <x v="120"/>
    <x v="120"/>
    <x v="1"/>
    <x v="0"/>
    <x v="80"/>
    <x v="13"/>
    <n v="85705"/>
    <s v="West"/>
    <x v="201"/>
    <x v="0"/>
    <x v="2"/>
    <x v="200"/>
    <n v="9.24"/>
    <n v="1"/>
    <n v="0.2"/>
    <n v="7.3920000000000003"/>
    <n v="0.92399999999999993"/>
  </r>
  <r>
    <n v="377"/>
    <x v="132"/>
    <x v="118"/>
    <d v="2020-10-01T00:00:00"/>
    <x v="2"/>
    <x v="121"/>
    <x v="121"/>
    <x v="0"/>
    <x v="0"/>
    <x v="81"/>
    <x v="17"/>
    <n v="62301"/>
    <s v="Central"/>
    <x v="202"/>
    <x v="0"/>
    <x v="5"/>
    <x v="201"/>
    <n v="99.13600000000001"/>
    <n v="4"/>
    <n v="0.2"/>
    <n v="317.23520000000002"/>
    <n v="30.979999999999993"/>
  </r>
  <r>
    <n v="379"/>
    <x v="133"/>
    <x v="119"/>
    <d v="2019-05-05T00:00:00"/>
    <x v="1"/>
    <x v="122"/>
    <x v="122"/>
    <x v="1"/>
    <x v="0"/>
    <x v="10"/>
    <x v="4"/>
    <n v="77095"/>
    <s v="Central"/>
    <x v="203"/>
    <x v="0"/>
    <x v="4"/>
    <x v="202"/>
    <n v="8.6519999999999975"/>
    <n v="3"/>
    <n v="0.8"/>
    <n v="5.1911999999999985"/>
    <n v="-20.332200000000007"/>
  </r>
  <r>
    <n v="380"/>
    <x v="133"/>
    <x v="119"/>
    <d v="2019-05-05T00:00:00"/>
    <x v="1"/>
    <x v="122"/>
    <x v="122"/>
    <x v="1"/>
    <x v="0"/>
    <x v="10"/>
    <x v="4"/>
    <n v="77095"/>
    <s v="Central"/>
    <x v="204"/>
    <x v="0"/>
    <x v="1"/>
    <x v="203"/>
    <n v="23.832000000000001"/>
    <n v="3"/>
    <n v="0.2"/>
    <n v="57.19680000000001"/>
    <n v="2.6810999999999954"/>
  </r>
  <r>
    <n v="381"/>
    <x v="133"/>
    <x v="119"/>
    <d v="2019-05-05T00:00:00"/>
    <x v="1"/>
    <x v="122"/>
    <x v="122"/>
    <x v="1"/>
    <x v="0"/>
    <x v="10"/>
    <x v="4"/>
    <n v="77095"/>
    <s v="Central"/>
    <x v="205"/>
    <x v="0"/>
    <x v="3"/>
    <x v="204"/>
    <n v="12.175999999999998"/>
    <n v="4"/>
    <n v="0.8"/>
    <n v="9.740799999999993"/>
    <n v="-18.872800000000009"/>
  </r>
  <r>
    <n v="382"/>
    <x v="134"/>
    <x v="75"/>
    <d v="2020-10-29T00:00:00"/>
    <x v="2"/>
    <x v="123"/>
    <x v="123"/>
    <x v="0"/>
    <x v="0"/>
    <x v="7"/>
    <x v="0"/>
    <n v="94109"/>
    <s v="West"/>
    <x v="206"/>
    <x v="0"/>
    <x v="5"/>
    <x v="205"/>
    <n v="50.96"/>
    <n v="7"/>
    <n v="0"/>
    <n v="356.72"/>
    <n v="25.48"/>
  </r>
  <r>
    <n v="383"/>
    <x v="134"/>
    <x v="75"/>
    <d v="2020-10-29T00:00:00"/>
    <x v="2"/>
    <x v="123"/>
    <x v="123"/>
    <x v="0"/>
    <x v="0"/>
    <x v="7"/>
    <x v="0"/>
    <n v="94109"/>
    <s v="West"/>
    <x v="207"/>
    <x v="0"/>
    <x v="3"/>
    <x v="206"/>
    <n v="49.536000000000001"/>
    <n v="3"/>
    <n v="0.2"/>
    <n v="118.88640000000001"/>
    <n v="17.337599999999998"/>
  </r>
  <r>
    <n v="389"/>
    <x v="135"/>
    <x v="120"/>
    <d v="2018-11-26T00:00:00"/>
    <x v="2"/>
    <x v="124"/>
    <x v="124"/>
    <x v="1"/>
    <x v="0"/>
    <x v="63"/>
    <x v="21"/>
    <n v="45231"/>
    <s v="East"/>
    <x v="208"/>
    <x v="0"/>
    <x v="2"/>
    <x v="207"/>
    <n v="2.6240000000000001"/>
    <n v="1"/>
    <n v="0.2"/>
    <n v="2.0992000000000002"/>
    <n v="0.42639999999999978"/>
  </r>
  <r>
    <n v="390"/>
    <x v="136"/>
    <x v="121"/>
    <d v="2021-12-15T00:00:00"/>
    <x v="1"/>
    <x v="125"/>
    <x v="125"/>
    <x v="1"/>
    <x v="0"/>
    <x v="15"/>
    <x v="12"/>
    <n v="10009"/>
    <s v="East"/>
    <x v="209"/>
    <x v="0"/>
    <x v="3"/>
    <x v="208"/>
    <n v="23.36"/>
    <n v="4"/>
    <n v="0.2"/>
    <n v="74.751999999999995"/>
    <n v="7.8839999999999986"/>
  </r>
  <r>
    <n v="394"/>
    <x v="137"/>
    <x v="122"/>
    <d v="2018-06-10T00:00:00"/>
    <x v="0"/>
    <x v="126"/>
    <x v="126"/>
    <x v="0"/>
    <x v="0"/>
    <x v="82"/>
    <x v="17"/>
    <n v="61604"/>
    <s v="Central"/>
    <x v="210"/>
    <x v="0"/>
    <x v="3"/>
    <x v="209"/>
    <n v="12.461999999999996"/>
    <n v="3"/>
    <n v="0.8"/>
    <n v="7.4771999999999963"/>
    <n v="-20.5623"/>
  </r>
  <r>
    <n v="395"/>
    <x v="138"/>
    <x v="123"/>
    <d v="2021-07-05T00:00:00"/>
    <x v="1"/>
    <x v="127"/>
    <x v="127"/>
    <x v="2"/>
    <x v="0"/>
    <x v="83"/>
    <x v="30"/>
    <n v="89115"/>
    <s v="West"/>
    <x v="211"/>
    <x v="0"/>
    <x v="3"/>
    <x v="210"/>
    <n v="75.792000000000002"/>
    <n v="3"/>
    <n v="0.2"/>
    <n v="181.9008"/>
    <n v="25.579799999999992"/>
  </r>
  <r>
    <n v="396"/>
    <x v="139"/>
    <x v="124"/>
    <d v="2021-10-19T00:00:00"/>
    <x v="0"/>
    <x v="128"/>
    <x v="128"/>
    <x v="0"/>
    <x v="0"/>
    <x v="84"/>
    <x v="31"/>
    <n v="2886"/>
    <s v="East"/>
    <x v="212"/>
    <x v="0"/>
    <x v="1"/>
    <x v="211"/>
    <n v="49.96"/>
    <n v="2"/>
    <n v="0"/>
    <n v="99.92"/>
    <n v="9.4923999999999964"/>
  </r>
  <r>
    <n v="397"/>
    <x v="139"/>
    <x v="124"/>
    <d v="2021-10-19T00:00:00"/>
    <x v="0"/>
    <x v="128"/>
    <x v="128"/>
    <x v="0"/>
    <x v="0"/>
    <x v="84"/>
    <x v="31"/>
    <n v="2886"/>
    <s v="East"/>
    <x v="213"/>
    <x v="0"/>
    <x v="5"/>
    <x v="212"/>
    <n v="12.96"/>
    <n v="2"/>
    <n v="0"/>
    <n v="25.92"/>
    <n v="6.2208000000000006"/>
  </r>
  <r>
    <n v="398"/>
    <x v="140"/>
    <x v="67"/>
    <d v="2019-11-04T00:00:00"/>
    <x v="1"/>
    <x v="5"/>
    <x v="5"/>
    <x v="2"/>
    <x v="0"/>
    <x v="19"/>
    <x v="10"/>
    <n v="49201"/>
    <s v="Central"/>
    <x v="214"/>
    <x v="0"/>
    <x v="8"/>
    <x v="213"/>
    <n v="70.12"/>
    <n v="4"/>
    <n v="0"/>
    <n v="280.48"/>
    <n v="21.035999999999994"/>
  </r>
  <r>
    <n v="399"/>
    <x v="141"/>
    <x v="125"/>
    <d v="2020-09-10T00:00:00"/>
    <x v="0"/>
    <x v="129"/>
    <x v="129"/>
    <x v="1"/>
    <x v="0"/>
    <x v="10"/>
    <x v="4"/>
    <n v="77036"/>
    <s v="Central"/>
    <x v="215"/>
    <x v="0"/>
    <x v="1"/>
    <x v="214"/>
    <n v="35.952000000000005"/>
    <n v="3"/>
    <n v="0.2"/>
    <n v="86.284800000000018"/>
    <n v="3.5951999999999984"/>
  </r>
  <r>
    <n v="401"/>
    <x v="141"/>
    <x v="125"/>
    <d v="2020-09-10T00:00:00"/>
    <x v="0"/>
    <x v="129"/>
    <x v="129"/>
    <x v="1"/>
    <x v="0"/>
    <x v="10"/>
    <x v="4"/>
    <n v="77036"/>
    <s v="Central"/>
    <x v="216"/>
    <x v="0"/>
    <x v="1"/>
    <x v="215"/>
    <n v="131.136"/>
    <n v="4"/>
    <n v="0.2"/>
    <n v="419.6352"/>
    <n v="-32.783999999999999"/>
  </r>
  <r>
    <n v="403"/>
    <x v="142"/>
    <x v="126"/>
    <d v="2018-12-26T00:00:00"/>
    <x v="2"/>
    <x v="130"/>
    <x v="130"/>
    <x v="1"/>
    <x v="0"/>
    <x v="85"/>
    <x v="1"/>
    <n v="33180"/>
    <s v="South"/>
    <x v="217"/>
    <x v="0"/>
    <x v="5"/>
    <x v="216"/>
    <n v="9.5680000000000014"/>
    <n v="2"/>
    <n v="0.2"/>
    <n v="15.308800000000002"/>
    <n v="3.4683999999999999"/>
  </r>
  <r>
    <n v="404"/>
    <x v="143"/>
    <x v="127"/>
    <d v="2018-04-20T00:00:00"/>
    <x v="1"/>
    <x v="54"/>
    <x v="54"/>
    <x v="0"/>
    <x v="0"/>
    <x v="33"/>
    <x v="2"/>
    <n v="28403"/>
    <s v="South"/>
    <x v="218"/>
    <x v="0"/>
    <x v="2"/>
    <x v="217"/>
    <n v="39.072000000000003"/>
    <n v="6"/>
    <n v="0.2"/>
    <n v="187.54560000000001"/>
    <n v="9.7680000000000007"/>
  </r>
  <r>
    <n v="405"/>
    <x v="144"/>
    <x v="128"/>
    <d v="2021-12-29T00:00:00"/>
    <x v="1"/>
    <x v="131"/>
    <x v="131"/>
    <x v="1"/>
    <x v="0"/>
    <x v="15"/>
    <x v="12"/>
    <n v="10024"/>
    <s v="East"/>
    <x v="219"/>
    <x v="0"/>
    <x v="4"/>
    <x v="218"/>
    <n v="35.910000000000004"/>
    <n v="3"/>
    <n v="0"/>
    <n v="107.73000000000002"/>
    <n v="9.6956999999999987"/>
  </r>
  <r>
    <n v="408"/>
    <x v="145"/>
    <x v="129"/>
    <d v="2021-12-12T00:00:00"/>
    <x v="1"/>
    <x v="132"/>
    <x v="132"/>
    <x v="1"/>
    <x v="0"/>
    <x v="7"/>
    <x v="0"/>
    <n v="94110"/>
    <s v="West"/>
    <x v="220"/>
    <x v="0"/>
    <x v="5"/>
    <x v="219"/>
    <n v="27.15"/>
    <n v="5"/>
    <n v="0"/>
    <n v="135.75"/>
    <n v="13.3035"/>
  </r>
  <r>
    <n v="410"/>
    <x v="145"/>
    <x v="129"/>
    <d v="2021-12-12T00:00:00"/>
    <x v="1"/>
    <x v="132"/>
    <x v="132"/>
    <x v="1"/>
    <x v="0"/>
    <x v="7"/>
    <x v="0"/>
    <n v="94110"/>
    <s v="West"/>
    <x v="221"/>
    <x v="0"/>
    <x v="5"/>
    <x v="220"/>
    <n v="9.68"/>
    <n v="1"/>
    <n v="0"/>
    <n v="9.68"/>
    <n v="4.6463999999999999"/>
  </r>
  <r>
    <n v="411"/>
    <x v="145"/>
    <x v="129"/>
    <d v="2021-12-12T00:00:00"/>
    <x v="1"/>
    <x v="132"/>
    <x v="132"/>
    <x v="1"/>
    <x v="0"/>
    <x v="7"/>
    <x v="0"/>
    <n v="94110"/>
    <s v="West"/>
    <x v="222"/>
    <x v="0"/>
    <x v="0"/>
    <x v="221"/>
    <n v="28.349999999999998"/>
    <n v="9"/>
    <n v="0"/>
    <n v="255.14999999999998"/>
    <n v="13.608000000000001"/>
  </r>
  <r>
    <n v="412"/>
    <x v="145"/>
    <x v="129"/>
    <d v="2021-12-12T00:00:00"/>
    <x v="1"/>
    <x v="132"/>
    <x v="132"/>
    <x v="1"/>
    <x v="0"/>
    <x v="7"/>
    <x v="0"/>
    <n v="94110"/>
    <s v="West"/>
    <x v="187"/>
    <x v="0"/>
    <x v="5"/>
    <x v="222"/>
    <n v="55.98"/>
    <n v="1"/>
    <n v="0"/>
    <n v="55.98"/>
    <n v="27.430199999999999"/>
  </r>
  <r>
    <n v="415"/>
    <x v="146"/>
    <x v="130"/>
    <d v="2021-11-07T00:00:00"/>
    <x v="1"/>
    <x v="133"/>
    <x v="133"/>
    <x v="0"/>
    <x v="0"/>
    <x v="3"/>
    <x v="3"/>
    <n v="98105"/>
    <s v="West"/>
    <x v="223"/>
    <x v="0"/>
    <x v="5"/>
    <x v="223"/>
    <n v="139.86000000000001"/>
    <n v="7"/>
    <n v="0"/>
    <n v="979.0200000000001"/>
    <n v="65.734199999999987"/>
  </r>
  <r>
    <n v="417"/>
    <x v="147"/>
    <x v="70"/>
    <d v="2021-06-28T00:00:00"/>
    <x v="1"/>
    <x v="134"/>
    <x v="134"/>
    <x v="1"/>
    <x v="0"/>
    <x v="86"/>
    <x v="0"/>
    <n v="92646"/>
    <s v="West"/>
    <x v="224"/>
    <x v="0"/>
    <x v="2"/>
    <x v="224"/>
    <n v="95.92"/>
    <n v="8"/>
    <n v="0"/>
    <n v="767.36"/>
    <n v="25.898399999999995"/>
  </r>
  <r>
    <n v="419"/>
    <x v="148"/>
    <x v="35"/>
    <d v="2021-11-10T00:00:00"/>
    <x v="1"/>
    <x v="115"/>
    <x v="115"/>
    <x v="0"/>
    <x v="0"/>
    <x v="87"/>
    <x v="32"/>
    <n v="40475"/>
    <s v="South"/>
    <x v="225"/>
    <x v="0"/>
    <x v="5"/>
    <x v="225"/>
    <n v="5.78"/>
    <n v="1"/>
    <n v="0"/>
    <n v="5.78"/>
    <n v="2.8322000000000003"/>
  </r>
  <r>
    <n v="420"/>
    <x v="149"/>
    <x v="131"/>
    <d v="2021-03-09T00:00:00"/>
    <x v="1"/>
    <x v="103"/>
    <x v="103"/>
    <x v="0"/>
    <x v="0"/>
    <x v="0"/>
    <x v="0"/>
    <n v="90045"/>
    <s v="West"/>
    <x v="226"/>
    <x v="0"/>
    <x v="2"/>
    <x v="226"/>
    <n v="9.32"/>
    <n v="4"/>
    <n v="0"/>
    <n v="37.28"/>
    <n v="2.702799999999999"/>
  </r>
  <r>
    <n v="421"/>
    <x v="149"/>
    <x v="131"/>
    <d v="2021-03-09T00:00:00"/>
    <x v="1"/>
    <x v="103"/>
    <x v="103"/>
    <x v="0"/>
    <x v="0"/>
    <x v="0"/>
    <x v="0"/>
    <n v="90045"/>
    <s v="West"/>
    <x v="227"/>
    <x v="0"/>
    <x v="6"/>
    <x v="227"/>
    <n v="15.25"/>
    <n v="1"/>
    <n v="0"/>
    <n v="15.25"/>
    <n v="7.0149999999999988"/>
  </r>
  <r>
    <n v="424"/>
    <x v="150"/>
    <x v="12"/>
    <d v="2021-10-23T00:00:00"/>
    <x v="1"/>
    <x v="135"/>
    <x v="135"/>
    <x v="0"/>
    <x v="0"/>
    <x v="88"/>
    <x v="28"/>
    <n v="1841"/>
    <s v="East"/>
    <x v="228"/>
    <x v="0"/>
    <x v="1"/>
    <x v="228"/>
    <n v="32.700000000000003"/>
    <n v="3"/>
    <n v="0"/>
    <n v="98.100000000000009"/>
    <n v="8.5019999999999989"/>
  </r>
  <r>
    <n v="427"/>
    <x v="151"/>
    <x v="41"/>
    <d v="2021-11-26T00:00:00"/>
    <x v="0"/>
    <x v="19"/>
    <x v="19"/>
    <x v="0"/>
    <x v="0"/>
    <x v="89"/>
    <x v="10"/>
    <n v="48187"/>
    <s v="Central"/>
    <x v="229"/>
    <x v="0"/>
    <x v="3"/>
    <x v="229"/>
    <n v="287.92"/>
    <n v="8"/>
    <n v="0"/>
    <n v="2303.36"/>
    <n v="138.202"/>
  </r>
  <r>
    <n v="429"/>
    <x v="152"/>
    <x v="132"/>
    <d v="2021-10-08T00:00:00"/>
    <x v="1"/>
    <x v="136"/>
    <x v="136"/>
    <x v="0"/>
    <x v="0"/>
    <x v="43"/>
    <x v="4"/>
    <n v="78207"/>
    <s v="Central"/>
    <x v="230"/>
    <x v="0"/>
    <x v="2"/>
    <x v="230"/>
    <n v="6.6719999999999988"/>
    <n v="6"/>
    <n v="0.2"/>
    <n v="32.025599999999997"/>
    <n v="0.50039999999999996"/>
  </r>
  <r>
    <n v="430"/>
    <x v="153"/>
    <x v="133"/>
    <d v="2020-04-21T00:00:00"/>
    <x v="1"/>
    <x v="137"/>
    <x v="137"/>
    <x v="2"/>
    <x v="0"/>
    <x v="90"/>
    <x v="2"/>
    <n v="28052"/>
    <s v="South"/>
    <x v="231"/>
    <x v="0"/>
    <x v="3"/>
    <x v="231"/>
    <n v="189.58800000000005"/>
    <n v="2"/>
    <n v="0.7"/>
    <n v="113.75280000000004"/>
    <n v="-145.35079999999999"/>
  </r>
  <r>
    <n v="433"/>
    <x v="153"/>
    <x v="133"/>
    <d v="2020-04-21T00:00:00"/>
    <x v="1"/>
    <x v="137"/>
    <x v="137"/>
    <x v="2"/>
    <x v="0"/>
    <x v="90"/>
    <x v="2"/>
    <n v="28052"/>
    <s v="South"/>
    <x v="232"/>
    <x v="0"/>
    <x v="1"/>
    <x v="232"/>
    <n v="4.7679999999999998"/>
    <n v="2"/>
    <n v="0.2"/>
    <n v="7.6288"/>
    <n v="-0.7748000000000006"/>
  </r>
  <r>
    <n v="434"/>
    <x v="154"/>
    <x v="134"/>
    <d v="2020-06-07T00:00:00"/>
    <x v="2"/>
    <x v="138"/>
    <x v="138"/>
    <x v="1"/>
    <x v="0"/>
    <x v="77"/>
    <x v="28"/>
    <n v="1852"/>
    <s v="East"/>
    <x v="233"/>
    <x v="0"/>
    <x v="1"/>
    <x v="233"/>
    <n v="714.30000000000007"/>
    <n v="5"/>
    <n v="0"/>
    <n v="3571.5000000000005"/>
    <n v="207.14699999999993"/>
  </r>
  <r>
    <n v="435"/>
    <x v="155"/>
    <x v="135"/>
    <d v="2018-12-25T00:00:00"/>
    <x v="1"/>
    <x v="139"/>
    <x v="139"/>
    <x v="1"/>
    <x v="0"/>
    <x v="91"/>
    <x v="1"/>
    <n v="32216"/>
    <s v="South"/>
    <x v="234"/>
    <x v="0"/>
    <x v="3"/>
    <x v="234"/>
    <n v="4.8120000000000003"/>
    <n v="2"/>
    <n v="0.7"/>
    <n v="2.8872000000000009"/>
    <n v="-3.6891999999999996"/>
  </r>
  <r>
    <n v="438"/>
    <x v="156"/>
    <x v="0"/>
    <d v="2020-06-14T00:00:00"/>
    <x v="0"/>
    <x v="140"/>
    <x v="140"/>
    <x v="2"/>
    <x v="0"/>
    <x v="23"/>
    <x v="17"/>
    <n v="60623"/>
    <s v="Central"/>
    <x v="187"/>
    <x v="0"/>
    <x v="5"/>
    <x v="222"/>
    <n v="313.488"/>
    <n v="7"/>
    <n v="0.2"/>
    <n v="1755.5328000000002"/>
    <n v="113.63939999999998"/>
  </r>
  <r>
    <n v="439"/>
    <x v="157"/>
    <x v="136"/>
    <d v="2021-09-19T00:00:00"/>
    <x v="1"/>
    <x v="141"/>
    <x v="141"/>
    <x v="0"/>
    <x v="0"/>
    <x v="10"/>
    <x v="4"/>
    <n v="77070"/>
    <s v="Central"/>
    <x v="235"/>
    <x v="0"/>
    <x v="5"/>
    <x v="235"/>
    <n v="31.872000000000003"/>
    <n v="8"/>
    <n v="0.2"/>
    <n v="203.98080000000002"/>
    <n v="11.553600000000003"/>
  </r>
  <r>
    <n v="442"/>
    <x v="158"/>
    <x v="137"/>
    <d v="2020-09-07T00:00:00"/>
    <x v="0"/>
    <x v="6"/>
    <x v="6"/>
    <x v="1"/>
    <x v="0"/>
    <x v="56"/>
    <x v="10"/>
    <n v="48227"/>
    <s v="Central"/>
    <x v="236"/>
    <x v="0"/>
    <x v="1"/>
    <x v="236"/>
    <n v="194.94"/>
    <n v="3"/>
    <n v="0"/>
    <n v="584.81999999999994"/>
    <n v="23.392800000000008"/>
  </r>
  <r>
    <n v="443"/>
    <x v="158"/>
    <x v="137"/>
    <d v="2020-09-07T00:00:00"/>
    <x v="0"/>
    <x v="6"/>
    <x v="6"/>
    <x v="1"/>
    <x v="0"/>
    <x v="56"/>
    <x v="10"/>
    <n v="48227"/>
    <s v="Central"/>
    <x v="237"/>
    <x v="0"/>
    <x v="1"/>
    <x v="237"/>
    <n v="70.949999999999989"/>
    <n v="3"/>
    <n v="0"/>
    <n v="212.84999999999997"/>
    <n v="20.575499999999998"/>
  </r>
  <r>
    <n v="444"/>
    <x v="158"/>
    <x v="137"/>
    <d v="2020-09-07T00:00:00"/>
    <x v="0"/>
    <x v="6"/>
    <x v="6"/>
    <x v="1"/>
    <x v="0"/>
    <x v="56"/>
    <x v="10"/>
    <n v="48227"/>
    <s v="Central"/>
    <x v="238"/>
    <x v="0"/>
    <x v="5"/>
    <x v="238"/>
    <n v="91.36"/>
    <n v="4"/>
    <n v="0"/>
    <n v="365.44"/>
    <n v="42.025599999999997"/>
  </r>
  <r>
    <n v="446"/>
    <x v="158"/>
    <x v="137"/>
    <d v="2020-09-07T00:00:00"/>
    <x v="0"/>
    <x v="6"/>
    <x v="6"/>
    <x v="1"/>
    <x v="0"/>
    <x v="56"/>
    <x v="10"/>
    <n v="48227"/>
    <s v="Central"/>
    <x v="239"/>
    <x v="0"/>
    <x v="0"/>
    <x v="239"/>
    <n v="22.05"/>
    <n v="7"/>
    <n v="0"/>
    <n v="154.35"/>
    <n v="10.584"/>
  </r>
  <r>
    <n v="448"/>
    <x v="159"/>
    <x v="138"/>
    <d v="2020-04-03T00:00:00"/>
    <x v="0"/>
    <x v="142"/>
    <x v="142"/>
    <x v="1"/>
    <x v="0"/>
    <x v="92"/>
    <x v="12"/>
    <n v="13021"/>
    <s v="East"/>
    <x v="240"/>
    <x v="0"/>
    <x v="2"/>
    <x v="240"/>
    <n v="59.519999999999996"/>
    <n v="3"/>
    <n v="0"/>
    <n v="178.56"/>
    <n v="15.475200000000001"/>
  </r>
  <r>
    <n v="449"/>
    <x v="159"/>
    <x v="138"/>
    <d v="2020-04-03T00:00:00"/>
    <x v="0"/>
    <x v="142"/>
    <x v="142"/>
    <x v="1"/>
    <x v="0"/>
    <x v="92"/>
    <x v="12"/>
    <n v="13021"/>
    <s v="East"/>
    <x v="241"/>
    <x v="0"/>
    <x v="1"/>
    <x v="241"/>
    <n v="161.94"/>
    <n v="3"/>
    <n v="0"/>
    <n v="485.82"/>
    <n v="9.716399999999993"/>
  </r>
  <r>
    <n v="450"/>
    <x v="159"/>
    <x v="138"/>
    <d v="2020-04-03T00:00:00"/>
    <x v="0"/>
    <x v="142"/>
    <x v="142"/>
    <x v="1"/>
    <x v="0"/>
    <x v="92"/>
    <x v="12"/>
    <n v="13021"/>
    <s v="East"/>
    <x v="242"/>
    <x v="0"/>
    <x v="2"/>
    <x v="242"/>
    <n v="263.88"/>
    <n v="6"/>
    <n v="0"/>
    <n v="1583.28"/>
    <n v="71.247600000000006"/>
  </r>
  <r>
    <n v="451"/>
    <x v="159"/>
    <x v="138"/>
    <d v="2020-04-03T00:00:00"/>
    <x v="0"/>
    <x v="142"/>
    <x v="142"/>
    <x v="1"/>
    <x v="0"/>
    <x v="92"/>
    <x v="12"/>
    <n v="13021"/>
    <s v="East"/>
    <x v="243"/>
    <x v="0"/>
    <x v="2"/>
    <x v="243"/>
    <n v="30.48"/>
    <n v="3"/>
    <n v="0"/>
    <n v="91.44"/>
    <n v="7.9248000000000012"/>
  </r>
  <r>
    <n v="452"/>
    <x v="159"/>
    <x v="138"/>
    <d v="2020-04-03T00:00:00"/>
    <x v="0"/>
    <x v="142"/>
    <x v="142"/>
    <x v="1"/>
    <x v="0"/>
    <x v="92"/>
    <x v="12"/>
    <n v="13021"/>
    <s v="East"/>
    <x v="244"/>
    <x v="0"/>
    <x v="2"/>
    <x v="244"/>
    <n v="9.84"/>
    <n v="3"/>
    <n v="0"/>
    <n v="29.52"/>
    <n v="2.8535999999999988"/>
  </r>
  <r>
    <n v="455"/>
    <x v="160"/>
    <x v="139"/>
    <d v="2021-10-24T00:00:00"/>
    <x v="1"/>
    <x v="143"/>
    <x v="143"/>
    <x v="0"/>
    <x v="0"/>
    <x v="50"/>
    <x v="21"/>
    <n v="44312"/>
    <s v="East"/>
    <x v="245"/>
    <x v="0"/>
    <x v="1"/>
    <x v="245"/>
    <n v="665.40800000000002"/>
    <n v="2"/>
    <n v="0.2"/>
    <n v="1064.6528000000001"/>
    <n v="66.540799999999962"/>
  </r>
  <r>
    <n v="459"/>
    <x v="161"/>
    <x v="140"/>
    <d v="2020-10-01T00:00:00"/>
    <x v="1"/>
    <x v="144"/>
    <x v="144"/>
    <x v="1"/>
    <x v="0"/>
    <x v="21"/>
    <x v="17"/>
    <n v="62521"/>
    <s v="Central"/>
    <x v="246"/>
    <x v="0"/>
    <x v="6"/>
    <x v="95"/>
    <n v="8.9280000000000008"/>
    <n v="2"/>
    <n v="0.2"/>
    <n v="14.284800000000001"/>
    <n v="3.3479999999999999"/>
  </r>
  <r>
    <n v="460"/>
    <x v="162"/>
    <x v="63"/>
    <d v="2019-12-22T00:00:00"/>
    <x v="1"/>
    <x v="76"/>
    <x v="76"/>
    <x v="1"/>
    <x v="0"/>
    <x v="3"/>
    <x v="3"/>
    <n v="98115"/>
    <s v="West"/>
    <x v="247"/>
    <x v="0"/>
    <x v="4"/>
    <x v="246"/>
    <n v="103.92"/>
    <n v="4"/>
    <n v="0"/>
    <n v="415.68"/>
    <n v="36.372"/>
  </r>
  <r>
    <n v="462"/>
    <x v="162"/>
    <x v="63"/>
    <d v="2019-12-22T00:00:00"/>
    <x v="1"/>
    <x v="76"/>
    <x v="76"/>
    <x v="1"/>
    <x v="0"/>
    <x v="3"/>
    <x v="3"/>
    <n v="98115"/>
    <s v="West"/>
    <x v="248"/>
    <x v="0"/>
    <x v="3"/>
    <x v="247"/>
    <n v="51.311999999999998"/>
    <n v="3"/>
    <n v="0.2"/>
    <n v="123.14879999999998"/>
    <n v="18.600599999999996"/>
  </r>
  <r>
    <n v="465"/>
    <x v="163"/>
    <x v="141"/>
    <d v="2020-04-29T00:00:00"/>
    <x v="1"/>
    <x v="145"/>
    <x v="145"/>
    <x v="2"/>
    <x v="0"/>
    <x v="34"/>
    <x v="13"/>
    <n v="85023"/>
    <s v="West"/>
    <x v="249"/>
    <x v="0"/>
    <x v="3"/>
    <x v="248"/>
    <n v="28.484999999999999"/>
    <n v="5"/>
    <n v="0.7"/>
    <n v="42.727500000000006"/>
    <n v="-20.888999999999989"/>
  </r>
  <r>
    <n v="466"/>
    <x v="163"/>
    <x v="141"/>
    <d v="2020-04-29T00:00:00"/>
    <x v="1"/>
    <x v="145"/>
    <x v="145"/>
    <x v="2"/>
    <x v="0"/>
    <x v="34"/>
    <x v="13"/>
    <n v="85023"/>
    <s v="West"/>
    <x v="250"/>
    <x v="0"/>
    <x v="8"/>
    <x v="249"/>
    <n v="185.376"/>
    <n v="2"/>
    <n v="0.2"/>
    <n v="296.60160000000002"/>
    <n v="-34.758000000000017"/>
  </r>
  <r>
    <n v="467"/>
    <x v="163"/>
    <x v="141"/>
    <d v="2020-04-29T00:00:00"/>
    <x v="1"/>
    <x v="145"/>
    <x v="145"/>
    <x v="2"/>
    <x v="0"/>
    <x v="34"/>
    <x v="13"/>
    <n v="85023"/>
    <s v="West"/>
    <x v="251"/>
    <x v="0"/>
    <x v="4"/>
    <x v="250"/>
    <n v="78.272000000000006"/>
    <n v="2"/>
    <n v="0.2"/>
    <n v="125.23520000000001"/>
    <n v="5.8704000000000001"/>
  </r>
  <r>
    <n v="470"/>
    <x v="164"/>
    <x v="142"/>
    <d v="2020-12-20T00:00:00"/>
    <x v="0"/>
    <x v="88"/>
    <x v="88"/>
    <x v="1"/>
    <x v="0"/>
    <x v="23"/>
    <x v="17"/>
    <n v="60610"/>
    <s v="Central"/>
    <x v="252"/>
    <x v="0"/>
    <x v="3"/>
    <x v="251"/>
    <n v="4.7879999999999985"/>
    <n v="3"/>
    <n v="0.8"/>
    <n v="2.872799999999998"/>
    <n v="-7.9001999999999999"/>
  </r>
  <r>
    <n v="471"/>
    <x v="165"/>
    <x v="108"/>
    <d v="2019-12-24T00:00:00"/>
    <x v="1"/>
    <x v="146"/>
    <x v="146"/>
    <x v="0"/>
    <x v="0"/>
    <x v="93"/>
    <x v="12"/>
    <n v="11757"/>
    <s v="East"/>
    <x v="253"/>
    <x v="0"/>
    <x v="5"/>
    <x v="252"/>
    <n v="55.48"/>
    <n v="1"/>
    <n v="0"/>
    <n v="55.48"/>
    <n v="26.630399999999998"/>
  </r>
  <r>
    <n v="472"/>
    <x v="166"/>
    <x v="143"/>
    <d v="2018-11-11T00:00:00"/>
    <x v="0"/>
    <x v="147"/>
    <x v="147"/>
    <x v="1"/>
    <x v="0"/>
    <x v="7"/>
    <x v="0"/>
    <n v="94110"/>
    <s v="West"/>
    <x v="254"/>
    <x v="0"/>
    <x v="1"/>
    <x v="253"/>
    <n v="340.92"/>
    <n v="3"/>
    <n v="0"/>
    <n v="1022.76"/>
    <n v="3.4091999999999842"/>
  </r>
  <r>
    <n v="475"/>
    <x v="166"/>
    <x v="143"/>
    <d v="2018-11-11T00:00:00"/>
    <x v="0"/>
    <x v="147"/>
    <x v="147"/>
    <x v="1"/>
    <x v="0"/>
    <x v="7"/>
    <x v="0"/>
    <n v="94110"/>
    <s v="West"/>
    <x v="255"/>
    <x v="0"/>
    <x v="1"/>
    <x v="254"/>
    <n v="92.52"/>
    <n v="6"/>
    <n v="0"/>
    <n v="555.12"/>
    <n v="24.980400000000007"/>
  </r>
  <r>
    <n v="476"/>
    <x v="166"/>
    <x v="143"/>
    <d v="2018-11-11T00:00:00"/>
    <x v="0"/>
    <x v="147"/>
    <x v="147"/>
    <x v="1"/>
    <x v="0"/>
    <x v="7"/>
    <x v="0"/>
    <n v="94110"/>
    <s v="West"/>
    <x v="256"/>
    <x v="0"/>
    <x v="5"/>
    <x v="255"/>
    <n v="62.649999999999991"/>
    <n v="7"/>
    <n v="0"/>
    <n v="438.54999999999995"/>
    <n v="28.818999999999996"/>
  </r>
  <r>
    <n v="477"/>
    <x v="166"/>
    <x v="143"/>
    <d v="2018-11-11T00:00:00"/>
    <x v="0"/>
    <x v="147"/>
    <x v="147"/>
    <x v="1"/>
    <x v="0"/>
    <x v="7"/>
    <x v="0"/>
    <n v="94110"/>
    <s v="West"/>
    <x v="257"/>
    <x v="0"/>
    <x v="5"/>
    <x v="256"/>
    <n v="94.85"/>
    <n v="5"/>
    <n v="0"/>
    <n v="474.25"/>
    <n v="45.527999999999992"/>
  </r>
  <r>
    <n v="480"/>
    <x v="167"/>
    <x v="144"/>
    <d v="2020-07-02T00:00:00"/>
    <x v="1"/>
    <x v="148"/>
    <x v="148"/>
    <x v="0"/>
    <x v="0"/>
    <x v="15"/>
    <x v="12"/>
    <n v="10024"/>
    <s v="East"/>
    <x v="258"/>
    <x v="0"/>
    <x v="2"/>
    <x v="257"/>
    <n v="14.7"/>
    <n v="5"/>
    <n v="0"/>
    <n v="73.5"/>
    <n v="6.6150000000000002"/>
  </r>
  <r>
    <n v="481"/>
    <x v="167"/>
    <x v="144"/>
    <d v="2020-07-02T00:00:00"/>
    <x v="1"/>
    <x v="148"/>
    <x v="148"/>
    <x v="0"/>
    <x v="0"/>
    <x v="15"/>
    <x v="12"/>
    <n v="10024"/>
    <s v="East"/>
    <x v="259"/>
    <x v="0"/>
    <x v="1"/>
    <x v="258"/>
    <n v="704.25"/>
    <n v="5"/>
    <n v="0"/>
    <n v="3521.25"/>
    <n v="84.51"/>
  </r>
  <r>
    <n v="483"/>
    <x v="168"/>
    <x v="145"/>
    <d v="2018-07-27T00:00:00"/>
    <x v="1"/>
    <x v="149"/>
    <x v="149"/>
    <x v="1"/>
    <x v="0"/>
    <x v="15"/>
    <x v="12"/>
    <n v="10024"/>
    <s v="East"/>
    <x v="46"/>
    <x v="0"/>
    <x v="2"/>
    <x v="46"/>
    <n v="5.96"/>
    <n v="2"/>
    <n v="0"/>
    <n v="11.92"/>
    <n v="1.6688000000000001"/>
  </r>
  <r>
    <n v="485"/>
    <x v="169"/>
    <x v="146"/>
    <d v="2021-06-13T00:00:00"/>
    <x v="2"/>
    <x v="150"/>
    <x v="150"/>
    <x v="2"/>
    <x v="0"/>
    <x v="0"/>
    <x v="0"/>
    <n v="90045"/>
    <s v="West"/>
    <x v="260"/>
    <x v="0"/>
    <x v="0"/>
    <x v="259"/>
    <n v="29.6"/>
    <n v="2"/>
    <n v="0"/>
    <n v="59.2"/>
    <n v="14.8"/>
  </r>
  <r>
    <n v="491"/>
    <x v="170"/>
    <x v="2"/>
    <d v="2018-06-13T00:00:00"/>
    <x v="0"/>
    <x v="151"/>
    <x v="151"/>
    <x v="2"/>
    <x v="0"/>
    <x v="94"/>
    <x v="4"/>
    <n v="77340"/>
    <s v="Central"/>
    <x v="242"/>
    <x v="0"/>
    <x v="2"/>
    <x v="242"/>
    <n v="70.367999999999995"/>
    <n v="2"/>
    <n v="0.2"/>
    <n v="112.58879999999999"/>
    <n v="6.1572000000000031"/>
  </r>
  <r>
    <n v="492"/>
    <x v="171"/>
    <x v="60"/>
    <d v="2018-09-19T00:00:00"/>
    <x v="1"/>
    <x v="152"/>
    <x v="152"/>
    <x v="1"/>
    <x v="0"/>
    <x v="24"/>
    <x v="12"/>
    <n v="14609"/>
    <s v="East"/>
    <x v="261"/>
    <x v="0"/>
    <x v="1"/>
    <x v="260"/>
    <n v="449.15"/>
    <n v="5"/>
    <n v="0"/>
    <n v="2245.75"/>
    <n v="8.9829999999999899"/>
  </r>
  <r>
    <n v="493"/>
    <x v="171"/>
    <x v="60"/>
    <d v="2018-09-19T00:00:00"/>
    <x v="1"/>
    <x v="152"/>
    <x v="152"/>
    <x v="1"/>
    <x v="0"/>
    <x v="24"/>
    <x v="12"/>
    <n v="14609"/>
    <s v="East"/>
    <x v="262"/>
    <x v="0"/>
    <x v="6"/>
    <x v="261"/>
    <n v="11.07"/>
    <n v="3"/>
    <n v="0"/>
    <n v="33.21"/>
    <n v="5.0921999999999992"/>
  </r>
  <r>
    <n v="496"/>
    <x v="172"/>
    <x v="13"/>
    <d v="2019-12-31T00:00:00"/>
    <x v="1"/>
    <x v="153"/>
    <x v="153"/>
    <x v="1"/>
    <x v="0"/>
    <x v="95"/>
    <x v="33"/>
    <n v="72701"/>
    <s v="South"/>
    <x v="263"/>
    <x v="0"/>
    <x v="6"/>
    <x v="262"/>
    <n v="105.42"/>
    <n v="2"/>
    <n v="0"/>
    <n v="210.84"/>
    <n v="51.655799999999999"/>
  </r>
  <r>
    <n v="497"/>
    <x v="173"/>
    <x v="147"/>
    <d v="2020-07-31T00:00:00"/>
    <x v="1"/>
    <x v="154"/>
    <x v="154"/>
    <x v="1"/>
    <x v="0"/>
    <x v="96"/>
    <x v="0"/>
    <n v="92627"/>
    <s v="West"/>
    <x v="264"/>
    <x v="0"/>
    <x v="3"/>
    <x v="263"/>
    <n v="119.61600000000001"/>
    <n v="8"/>
    <n v="0.2"/>
    <n v="765.54240000000004"/>
    <n v="40.370399999999997"/>
  </r>
  <r>
    <n v="501"/>
    <x v="174"/>
    <x v="148"/>
    <d v="2020-06-04T00:00:00"/>
    <x v="1"/>
    <x v="155"/>
    <x v="155"/>
    <x v="0"/>
    <x v="0"/>
    <x v="97"/>
    <x v="19"/>
    <n v="80134"/>
    <s v="West"/>
    <x v="265"/>
    <x v="0"/>
    <x v="3"/>
    <x v="264"/>
    <n v="22.620000000000005"/>
    <n v="2"/>
    <n v="0.7"/>
    <n v="13.572000000000006"/>
    <n v="-15.079999999999998"/>
  </r>
  <r>
    <n v="502"/>
    <x v="174"/>
    <x v="148"/>
    <d v="2020-06-04T00:00:00"/>
    <x v="1"/>
    <x v="155"/>
    <x v="155"/>
    <x v="0"/>
    <x v="0"/>
    <x v="97"/>
    <x v="19"/>
    <n v="80134"/>
    <s v="West"/>
    <x v="266"/>
    <x v="0"/>
    <x v="3"/>
    <x v="265"/>
    <n v="14.952000000000004"/>
    <n v="2"/>
    <n v="0.7"/>
    <n v="8.9712000000000032"/>
    <n v="-11.961599999999997"/>
  </r>
  <r>
    <n v="504"/>
    <x v="174"/>
    <x v="148"/>
    <d v="2020-06-04T00:00:00"/>
    <x v="1"/>
    <x v="155"/>
    <x v="155"/>
    <x v="0"/>
    <x v="0"/>
    <x v="97"/>
    <x v="19"/>
    <n v="80134"/>
    <s v="West"/>
    <x v="267"/>
    <x v="0"/>
    <x v="3"/>
    <x v="266"/>
    <n v="2.3760000000000003"/>
    <n v="3"/>
    <n v="0.7"/>
    <n v="2.1384000000000007"/>
    <n v="-1.9007999999999998"/>
  </r>
  <r>
    <n v="505"/>
    <x v="174"/>
    <x v="148"/>
    <d v="2020-06-04T00:00:00"/>
    <x v="1"/>
    <x v="155"/>
    <x v="155"/>
    <x v="0"/>
    <x v="0"/>
    <x v="97"/>
    <x v="19"/>
    <n v="80134"/>
    <s v="West"/>
    <x v="268"/>
    <x v="0"/>
    <x v="5"/>
    <x v="267"/>
    <n v="32.792000000000002"/>
    <n v="1"/>
    <n v="0.2"/>
    <n v="26.233600000000003"/>
    <n v="11.8871"/>
  </r>
  <r>
    <n v="506"/>
    <x v="175"/>
    <x v="80"/>
    <d v="2021-11-15T00:00:00"/>
    <x v="0"/>
    <x v="143"/>
    <x v="143"/>
    <x v="0"/>
    <x v="0"/>
    <x v="15"/>
    <x v="12"/>
    <n v="10024"/>
    <s v="East"/>
    <x v="73"/>
    <x v="0"/>
    <x v="3"/>
    <x v="73"/>
    <n v="15.920000000000002"/>
    <n v="5"/>
    <n v="0.2"/>
    <n v="63.680000000000007"/>
    <n v="5.3729999999999993"/>
  </r>
  <r>
    <n v="507"/>
    <x v="176"/>
    <x v="149"/>
    <d v="2019-03-22T00:00:00"/>
    <x v="1"/>
    <x v="156"/>
    <x v="156"/>
    <x v="1"/>
    <x v="0"/>
    <x v="98"/>
    <x v="29"/>
    <n v="30318"/>
    <s v="South"/>
    <x v="269"/>
    <x v="0"/>
    <x v="2"/>
    <x v="268"/>
    <n v="2.74"/>
    <n v="1"/>
    <n v="0"/>
    <n v="2.74"/>
    <n v="0.73980000000000024"/>
  </r>
  <r>
    <n v="508"/>
    <x v="176"/>
    <x v="149"/>
    <d v="2019-03-22T00:00:00"/>
    <x v="1"/>
    <x v="156"/>
    <x v="156"/>
    <x v="1"/>
    <x v="0"/>
    <x v="98"/>
    <x v="29"/>
    <n v="30318"/>
    <s v="South"/>
    <x v="270"/>
    <x v="0"/>
    <x v="2"/>
    <x v="269"/>
    <n v="8.34"/>
    <n v="3"/>
    <n v="0"/>
    <n v="25.02"/>
    <n v="2.1683999999999997"/>
  </r>
  <r>
    <n v="509"/>
    <x v="176"/>
    <x v="149"/>
    <d v="2019-03-22T00:00:00"/>
    <x v="1"/>
    <x v="156"/>
    <x v="156"/>
    <x v="1"/>
    <x v="0"/>
    <x v="98"/>
    <x v="29"/>
    <n v="30318"/>
    <s v="South"/>
    <x v="137"/>
    <x v="0"/>
    <x v="1"/>
    <x v="270"/>
    <n v="46.74"/>
    <n v="3"/>
    <n v="0"/>
    <n v="140.22"/>
    <n v="11.684999999999999"/>
  </r>
  <r>
    <n v="510"/>
    <x v="176"/>
    <x v="149"/>
    <d v="2019-03-22T00:00:00"/>
    <x v="1"/>
    <x v="156"/>
    <x v="156"/>
    <x v="1"/>
    <x v="0"/>
    <x v="98"/>
    <x v="29"/>
    <n v="30318"/>
    <s v="South"/>
    <x v="271"/>
    <x v="0"/>
    <x v="3"/>
    <x v="271"/>
    <n v="6354.95"/>
    <n v="5"/>
    <n v="0"/>
    <n v="31774.75"/>
    <n v="3177.4749999999999"/>
  </r>
  <r>
    <n v="513"/>
    <x v="177"/>
    <x v="150"/>
    <d v="2020-10-23T00:00:00"/>
    <x v="2"/>
    <x v="130"/>
    <x v="130"/>
    <x v="1"/>
    <x v="0"/>
    <x v="44"/>
    <x v="21"/>
    <n v="43055"/>
    <s v="East"/>
    <x v="46"/>
    <x v="0"/>
    <x v="2"/>
    <x v="46"/>
    <n v="7.1519999999999992"/>
    <n v="3"/>
    <n v="0.2"/>
    <n v="17.164799999999996"/>
    <n v="0.71520000000000028"/>
  </r>
  <r>
    <n v="514"/>
    <x v="178"/>
    <x v="151"/>
    <d v="2021-12-25T00:00:00"/>
    <x v="1"/>
    <x v="157"/>
    <x v="157"/>
    <x v="1"/>
    <x v="0"/>
    <x v="0"/>
    <x v="0"/>
    <n v="90049"/>
    <s v="West"/>
    <x v="272"/>
    <x v="0"/>
    <x v="2"/>
    <x v="272"/>
    <n v="6.63"/>
    <n v="3"/>
    <n v="0"/>
    <n v="19.89"/>
    <n v="1.7901"/>
  </r>
  <r>
    <n v="515"/>
    <x v="178"/>
    <x v="151"/>
    <d v="2021-12-25T00:00:00"/>
    <x v="1"/>
    <x v="157"/>
    <x v="157"/>
    <x v="1"/>
    <x v="0"/>
    <x v="0"/>
    <x v="0"/>
    <n v="90049"/>
    <s v="West"/>
    <x v="273"/>
    <x v="0"/>
    <x v="2"/>
    <x v="273"/>
    <n v="5.88"/>
    <n v="2"/>
    <n v="0"/>
    <n v="11.76"/>
    <n v="1.7051999999999996"/>
  </r>
  <r>
    <n v="517"/>
    <x v="179"/>
    <x v="152"/>
    <d v="2021-01-27T00:00:00"/>
    <x v="1"/>
    <x v="158"/>
    <x v="158"/>
    <x v="2"/>
    <x v="0"/>
    <x v="99"/>
    <x v="34"/>
    <n v="59405"/>
    <s v="West"/>
    <x v="274"/>
    <x v="0"/>
    <x v="1"/>
    <x v="274"/>
    <n v="51.449999999999996"/>
    <n v="3"/>
    <n v="0"/>
    <n v="154.35"/>
    <n v="13.891499999999999"/>
  </r>
  <r>
    <n v="518"/>
    <x v="179"/>
    <x v="152"/>
    <d v="2021-01-27T00:00:00"/>
    <x v="1"/>
    <x v="158"/>
    <x v="158"/>
    <x v="2"/>
    <x v="0"/>
    <x v="99"/>
    <x v="34"/>
    <n v="59405"/>
    <s v="West"/>
    <x v="275"/>
    <x v="0"/>
    <x v="5"/>
    <x v="275"/>
    <n v="11.96"/>
    <n v="2"/>
    <n v="0"/>
    <n v="23.92"/>
    <n v="5.3819999999999997"/>
  </r>
  <r>
    <n v="519"/>
    <x v="179"/>
    <x v="152"/>
    <d v="2021-01-27T00:00:00"/>
    <x v="1"/>
    <x v="158"/>
    <x v="158"/>
    <x v="2"/>
    <x v="0"/>
    <x v="99"/>
    <x v="34"/>
    <n v="59405"/>
    <s v="West"/>
    <x v="276"/>
    <x v="0"/>
    <x v="1"/>
    <x v="276"/>
    <n v="1126.02"/>
    <n v="3"/>
    <n v="0"/>
    <n v="3378.06"/>
    <n v="56.300999999999988"/>
  </r>
  <r>
    <n v="521"/>
    <x v="180"/>
    <x v="153"/>
    <d v="2019-03-26T00:00:00"/>
    <x v="1"/>
    <x v="159"/>
    <x v="159"/>
    <x v="1"/>
    <x v="0"/>
    <x v="10"/>
    <x v="4"/>
    <n v="77041"/>
    <s v="Central"/>
    <x v="277"/>
    <x v="0"/>
    <x v="1"/>
    <x v="277"/>
    <n v="129.56800000000001"/>
    <n v="2"/>
    <n v="0.2"/>
    <n v="207.30880000000002"/>
    <n v="-25.91360000000001"/>
  </r>
  <r>
    <n v="522"/>
    <x v="180"/>
    <x v="153"/>
    <d v="2019-03-26T00:00:00"/>
    <x v="1"/>
    <x v="159"/>
    <x v="159"/>
    <x v="1"/>
    <x v="0"/>
    <x v="10"/>
    <x v="4"/>
    <n v="77041"/>
    <s v="Central"/>
    <x v="278"/>
    <x v="0"/>
    <x v="3"/>
    <x v="278"/>
    <n v="14.111999999999997"/>
    <n v="9"/>
    <n v="0.8"/>
    <n v="25.401599999999988"/>
    <n v="-21.167999999999999"/>
  </r>
  <r>
    <n v="526"/>
    <x v="181"/>
    <x v="154"/>
    <d v="2020-01-02T00:00:00"/>
    <x v="1"/>
    <x v="160"/>
    <x v="160"/>
    <x v="1"/>
    <x v="0"/>
    <x v="88"/>
    <x v="28"/>
    <n v="1841"/>
    <s v="East"/>
    <x v="279"/>
    <x v="0"/>
    <x v="7"/>
    <x v="76"/>
    <n v="22.200000000000003"/>
    <n v="5"/>
    <n v="0"/>
    <n v="111.00000000000001"/>
    <n v="10.434000000000001"/>
  </r>
  <r>
    <n v="529"/>
    <x v="182"/>
    <x v="29"/>
    <d v="2019-09-07T00:00:00"/>
    <x v="1"/>
    <x v="161"/>
    <x v="161"/>
    <x v="1"/>
    <x v="0"/>
    <x v="9"/>
    <x v="8"/>
    <n v="19134"/>
    <s v="East"/>
    <x v="280"/>
    <x v="0"/>
    <x v="1"/>
    <x v="279"/>
    <n v="36.336000000000006"/>
    <n v="3"/>
    <n v="0.2"/>
    <n v="87.206400000000002"/>
    <n v="-7.2672000000000043"/>
  </r>
  <r>
    <n v="530"/>
    <x v="182"/>
    <x v="29"/>
    <d v="2019-09-07T00:00:00"/>
    <x v="1"/>
    <x v="161"/>
    <x v="161"/>
    <x v="1"/>
    <x v="0"/>
    <x v="9"/>
    <x v="8"/>
    <n v="19134"/>
    <s v="East"/>
    <x v="281"/>
    <x v="0"/>
    <x v="8"/>
    <x v="280"/>
    <n v="666.24800000000005"/>
    <n v="1"/>
    <n v="0.2"/>
    <n v="532.99840000000006"/>
    <n v="-149.9058"/>
  </r>
  <r>
    <n v="531"/>
    <x v="182"/>
    <x v="29"/>
    <d v="2019-09-07T00:00:00"/>
    <x v="1"/>
    <x v="161"/>
    <x v="161"/>
    <x v="1"/>
    <x v="0"/>
    <x v="9"/>
    <x v="8"/>
    <n v="19134"/>
    <s v="East"/>
    <x v="282"/>
    <x v="0"/>
    <x v="6"/>
    <x v="281"/>
    <n v="52.512"/>
    <n v="6"/>
    <n v="0.2"/>
    <n v="252.05760000000001"/>
    <n v="19.692"/>
  </r>
  <r>
    <n v="535"/>
    <x v="183"/>
    <x v="155"/>
    <d v="2020-06-01T00:00:00"/>
    <x v="0"/>
    <x v="162"/>
    <x v="162"/>
    <x v="1"/>
    <x v="0"/>
    <x v="100"/>
    <x v="16"/>
    <n v="36116"/>
    <s v="South"/>
    <x v="148"/>
    <x v="0"/>
    <x v="3"/>
    <x v="148"/>
    <n v="22.75"/>
    <n v="5"/>
    <n v="0"/>
    <n v="113.75"/>
    <n v="11.375"/>
  </r>
  <r>
    <n v="536"/>
    <x v="184"/>
    <x v="156"/>
    <d v="2020-07-16T00:00:00"/>
    <x v="1"/>
    <x v="163"/>
    <x v="163"/>
    <x v="1"/>
    <x v="0"/>
    <x v="101"/>
    <x v="13"/>
    <n v="85204"/>
    <s v="West"/>
    <x v="283"/>
    <x v="0"/>
    <x v="1"/>
    <x v="282"/>
    <n v="16.768000000000001"/>
    <n v="2"/>
    <n v="0.2"/>
    <n v="26.828800000000001"/>
    <n v="1.4672000000000001"/>
  </r>
  <r>
    <n v="537"/>
    <x v="185"/>
    <x v="157"/>
    <d v="2021-09-08T00:00:00"/>
    <x v="0"/>
    <x v="164"/>
    <x v="164"/>
    <x v="1"/>
    <x v="0"/>
    <x v="23"/>
    <x v="17"/>
    <n v="60653"/>
    <s v="Central"/>
    <x v="284"/>
    <x v="0"/>
    <x v="3"/>
    <x v="283"/>
    <n v="42.615999999999993"/>
    <n v="7"/>
    <n v="0.8"/>
    <n v="59.662399999999991"/>
    <n v="-68.185600000000022"/>
  </r>
  <r>
    <n v="538"/>
    <x v="186"/>
    <x v="158"/>
    <d v="2019-12-08T00:00:00"/>
    <x v="1"/>
    <x v="68"/>
    <x v="68"/>
    <x v="2"/>
    <x v="0"/>
    <x v="15"/>
    <x v="12"/>
    <n v="10009"/>
    <s v="East"/>
    <x v="285"/>
    <x v="0"/>
    <x v="3"/>
    <x v="284"/>
    <n v="10.752000000000001"/>
    <n v="4"/>
    <n v="0.2"/>
    <n v="34.406400000000005"/>
    <n v="3.359999999999999"/>
  </r>
  <r>
    <n v="539"/>
    <x v="187"/>
    <x v="159"/>
    <d v="2019-12-11T00:00:00"/>
    <x v="1"/>
    <x v="165"/>
    <x v="165"/>
    <x v="1"/>
    <x v="0"/>
    <x v="102"/>
    <x v="32"/>
    <n v="42420"/>
    <s v="South"/>
    <x v="286"/>
    <x v="0"/>
    <x v="4"/>
    <x v="285"/>
    <n v="152.94"/>
    <n v="3"/>
    <n v="0"/>
    <n v="458.82"/>
    <n v="41.293800000000005"/>
  </r>
  <r>
    <n v="543"/>
    <x v="188"/>
    <x v="160"/>
    <d v="2019-12-23T00:00:00"/>
    <x v="1"/>
    <x v="166"/>
    <x v="166"/>
    <x v="1"/>
    <x v="0"/>
    <x v="18"/>
    <x v="21"/>
    <n v="45503"/>
    <s v="East"/>
    <x v="261"/>
    <x v="0"/>
    <x v="1"/>
    <x v="260"/>
    <n v="646.77600000000007"/>
    <n v="9"/>
    <n v="0.2"/>
    <n v="4656.7872000000007"/>
    <n v="-145.52460000000002"/>
  </r>
  <r>
    <n v="547"/>
    <x v="189"/>
    <x v="161"/>
    <d v="2021-11-22T00:00:00"/>
    <x v="2"/>
    <x v="167"/>
    <x v="167"/>
    <x v="2"/>
    <x v="0"/>
    <x v="15"/>
    <x v="12"/>
    <n v="10035"/>
    <s v="East"/>
    <x v="287"/>
    <x v="0"/>
    <x v="3"/>
    <x v="286"/>
    <n v="41.28"/>
    <n v="6"/>
    <n v="0.2"/>
    <n v="198.14400000000001"/>
    <n v="13.931999999999999"/>
  </r>
  <r>
    <n v="548"/>
    <x v="189"/>
    <x v="161"/>
    <d v="2021-11-22T00:00:00"/>
    <x v="2"/>
    <x v="167"/>
    <x v="167"/>
    <x v="2"/>
    <x v="0"/>
    <x v="15"/>
    <x v="12"/>
    <n v="10035"/>
    <s v="East"/>
    <x v="288"/>
    <x v="0"/>
    <x v="5"/>
    <x v="287"/>
    <n v="13.36"/>
    <n v="2"/>
    <n v="0"/>
    <n v="26.72"/>
    <n v="6.4127999999999998"/>
  </r>
  <r>
    <n v="549"/>
    <x v="190"/>
    <x v="162"/>
    <d v="2019-11-17T00:00:00"/>
    <x v="0"/>
    <x v="168"/>
    <x v="168"/>
    <x v="0"/>
    <x v="0"/>
    <x v="23"/>
    <x v="17"/>
    <n v="60653"/>
    <s v="Central"/>
    <x v="30"/>
    <x v="0"/>
    <x v="1"/>
    <x v="30"/>
    <n v="250.27199999999999"/>
    <n v="9"/>
    <n v="0.2"/>
    <n v="1801.9584"/>
    <n v="15.641999999999982"/>
  </r>
  <r>
    <n v="550"/>
    <x v="190"/>
    <x v="162"/>
    <d v="2019-11-17T00:00:00"/>
    <x v="0"/>
    <x v="168"/>
    <x v="168"/>
    <x v="0"/>
    <x v="0"/>
    <x v="23"/>
    <x v="17"/>
    <n v="60653"/>
    <s v="Central"/>
    <x v="56"/>
    <x v="0"/>
    <x v="3"/>
    <x v="56"/>
    <n v="11.363999999999997"/>
    <n v="3"/>
    <n v="0.8"/>
    <n v="6.8183999999999969"/>
    <n v="-17.045999999999999"/>
  </r>
  <r>
    <n v="551"/>
    <x v="190"/>
    <x v="162"/>
    <d v="2019-11-17T00:00:00"/>
    <x v="0"/>
    <x v="168"/>
    <x v="168"/>
    <x v="0"/>
    <x v="0"/>
    <x v="23"/>
    <x v="17"/>
    <n v="60653"/>
    <s v="Central"/>
    <x v="289"/>
    <x v="0"/>
    <x v="8"/>
    <x v="196"/>
    <n v="8.7200000000000006"/>
    <n v="5"/>
    <n v="0.2"/>
    <n v="34.880000000000003"/>
    <n v="-1.7440000000000015"/>
  </r>
  <r>
    <n v="554"/>
    <x v="191"/>
    <x v="163"/>
    <d v="2021-11-28T00:00:00"/>
    <x v="1"/>
    <x v="169"/>
    <x v="169"/>
    <x v="1"/>
    <x v="0"/>
    <x v="10"/>
    <x v="4"/>
    <n v="77070"/>
    <s v="Central"/>
    <x v="290"/>
    <x v="0"/>
    <x v="7"/>
    <x v="288"/>
    <n v="10.824"/>
    <n v="3"/>
    <n v="0.2"/>
    <n v="25.977600000000002"/>
    <n v="2.5707"/>
  </r>
  <r>
    <n v="555"/>
    <x v="192"/>
    <x v="164"/>
    <d v="2021-07-03T00:00:00"/>
    <x v="0"/>
    <x v="168"/>
    <x v="168"/>
    <x v="0"/>
    <x v="0"/>
    <x v="103"/>
    <x v="0"/>
    <n v="92804"/>
    <s v="West"/>
    <x v="291"/>
    <x v="0"/>
    <x v="1"/>
    <x v="289"/>
    <n v="1295.78"/>
    <n v="2"/>
    <n v="0"/>
    <n v="2591.56"/>
    <n v="310.98720000000003"/>
  </r>
  <r>
    <n v="556"/>
    <x v="193"/>
    <x v="165"/>
    <d v="2018-03-07T00:00:00"/>
    <x v="0"/>
    <x v="170"/>
    <x v="170"/>
    <x v="1"/>
    <x v="0"/>
    <x v="33"/>
    <x v="2"/>
    <n v="28403"/>
    <s v="South"/>
    <x v="292"/>
    <x v="0"/>
    <x v="2"/>
    <x v="290"/>
    <n v="19.456000000000003"/>
    <n v="4"/>
    <n v="0.2"/>
    <n v="62.259200000000007"/>
    <n v="3.4047999999999981"/>
  </r>
  <r>
    <n v="557"/>
    <x v="194"/>
    <x v="166"/>
    <d v="2020-06-15T00:00:00"/>
    <x v="1"/>
    <x v="171"/>
    <x v="171"/>
    <x v="1"/>
    <x v="0"/>
    <x v="0"/>
    <x v="0"/>
    <n v="90045"/>
    <s v="West"/>
    <x v="293"/>
    <x v="0"/>
    <x v="0"/>
    <x v="291"/>
    <n v="20.7"/>
    <n v="2"/>
    <n v="0"/>
    <n v="41.4"/>
    <n v="9.9359999999999999"/>
  </r>
  <r>
    <n v="559"/>
    <x v="194"/>
    <x v="166"/>
    <d v="2020-06-15T00:00:00"/>
    <x v="1"/>
    <x v="171"/>
    <x v="171"/>
    <x v="1"/>
    <x v="0"/>
    <x v="0"/>
    <x v="0"/>
    <n v="90045"/>
    <s v="West"/>
    <x v="294"/>
    <x v="0"/>
    <x v="5"/>
    <x v="292"/>
    <n v="32.400000000000006"/>
    <n v="5"/>
    <n v="0"/>
    <n v="162.00000000000003"/>
    <n v="15.552000000000001"/>
  </r>
  <r>
    <n v="561"/>
    <x v="195"/>
    <x v="167"/>
    <d v="2021-11-22T00:00:00"/>
    <x v="0"/>
    <x v="172"/>
    <x v="172"/>
    <x v="1"/>
    <x v="0"/>
    <x v="7"/>
    <x v="0"/>
    <n v="94110"/>
    <s v="West"/>
    <x v="295"/>
    <x v="0"/>
    <x v="3"/>
    <x v="293"/>
    <n v="84.056000000000012"/>
    <n v="7"/>
    <n v="0.2"/>
    <n v="470.71360000000004"/>
    <n v="27.318199999999983"/>
  </r>
  <r>
    <n v="562"/>
    <x v="196"/>
    <x v="60"/>
    <d v="2018-09-18T00:00:00"/>
    <x v="0"/>
    <x v="173"/>
    <x v="173"/>
    <x v="1"/>
    <x v="0"/>
    <x v="57"/>
    <x v="1"/>
    <n v="33614"/>
    <s v="South"/>
    <x v="296"/>
    <x v="0"/>
    <x v="4"/>
    <x v="294"/>
    <n v="13"/>
    <n v="5"/>
    <n v="0.2"/>
    <n v="52"/>
    <n v="1.3000000000000007"/>
  </r>
  <r>
    <n v="564"/>
    <x v="197"/>
    <x v="159"/>
    <d v="2019-12-09T00:00:00"/>
    <x v="2"/>
    <x v="174"/>
    <x v="174"/>
    <x v="1"/>
    <x v="0"/>
    <x v="3"/>
    <x v="3"/>
    <n v="98105"/>
    <s v="West"/>
    <x v="297"/>
    <x v="0"/>
    <x v="7"/>
    <x v="295"/>
    <n v="3.96"/>
    <n v="2"/>
    <n v="0"/>
    <n v="7.92"/>
    <n v="0"/>
  </r>
  <r>
    <n v="565"/>
    <x v="197"/>
    <x v="159"/>
    <d v="2019-12-09T00:00:00"/>
    <x v="2"/>
    <x v="174"/>
    <x v="174"/>
    <x v="1"/>
    <x v="0"/>
    <x v="3"/>
    <x v="3"/>
    <n v="98105"/>
    <s v="West"/>
    <x v="172"/>
    <x v="0"/>
    <x v="0"/>
    <x v="171"/>
    <n v="2.61"/>
    <n v="1"/>
    <n v="0"/>
    <n v="2.61"/>
    <n v="1.2005999999999999"/>
  </r>
  <r>
    <n v="567"/>
    <x v="198"/>
    <x v="132"/>
    <d v="2021-10-08T00:00:00"/>
    <x v="1"/>
    <x v="175"/>
    <x v="175"/>
    <x v="0"/>
    <x v="0"/>
    <x v="3"/>
    <x v="3"/>
    <n v="98105"/>
    <s v="West"/>
    <x v="298"/>
    <x v="0"/>
    <x v="5"/>
    <x v="296"/>
    <n v="91.84"/>
    <n v="8"/>
    <n v="0"/>
    <n v="734.72"/>
    <n v="45.001600000000003"/>
  </r>
  <r>
    <n v="568"/>
    <x v="198"/>
    <x v="132"/>
    <d v="2021-10-08T00:00:00"/>
    <x v="1"/>
    <x v="175"/>
    <x v="175"/>
    <x v="0"/>
    <x v="0"/>
    <x v="3"/>
    <x v="3"/>
    <n v="98105"/>
    <s v="West"/>
    <x v="299"/>
    <x v="0"/>
    <x v="3"/>
    <x v="297"/>
    <n v="81.088000000000008"/>
    <n v="7"/>
    <n v="0.2"/>
    <n v="454.09280000000007"/>
    <n v="27.3672"/>
  </r>
  <r>
    <n v="569"/>
    <x v="198"/>
    <x v="132"/>
    <d v="2021-10-08T00:00:00"/>
    <x v="1"/>
    <x v="175"/>
    <x v="175"/>
    <x v="0"/>
    <x v="0"/>
    <x v="3"/>
    <x v="3"/>
    <n v="98105"/>
    <s v="West"/>
    <x v="300"/>
    <x v="0"/>
    <x v="5"/>
    <x v="298"/>
    <n v="19.440000000000001"/>
    <n v="3"/>
    <n v="0"/>
    <n v="58.320000000000007"/>
    <n v="9.3312000000000008"/>
  </r>
  <r>
    <n v="571"/>
    <x v="199"/>
    <x v="88"/>
    <d v="2018-01-04T00:00:00"/>
    <x v="1"/>
    <x v="176"/>
    <x v="176"/>
    <x v="1"/>
    <x v="0"/>
    <x v="15"/>
    <x v="12"/>
    <n v="10024"/>
    <s v="East"/>
    <x v="293"/>
    <x v="0"/>
    <x v="0"/>
    <x v="291"/>
    <n v="72.45"/>
    <n v="7"/>
    <n v="0"/>
    <n v="507.15000000000003"/>
    <n v="34.775999999999996"/>
  </r>
  <r>
    <n v="572"/>
    <x v="199"/>
    <x v="88"/>
    <d v="2018-01-04T00:00:00"/>
    <x v="1"/>
    <x v="176"/>
    <x v="176"/>
    <x v="1"/>
    <x v="0"/>
    <x v="15"/>
    <x v="12"/>
    <n v="10024"/>
    <s v="East"/>
    <x v="125"/>
    <x v="0"/>
    <x v="7"/>
    <x v="125"/>
    <n v="13.96"/>
    <n v="4"/>
    <n v="0"/>
    <n v="55.84"/>
    <n v="6.4215999999999998"/>
  </r>
  <r>
    <n v="573"/>
    <x v="199"/>
    <x v="88"/>
    <d v="2018-01-04T00:00:00"/>
    <x v="1"/>
    <x v="176"/>
    <x v="176"/>
    <x v="1"/>
    <x v="0"/>
    <x v="15"/>
    <x v="12"/>
    <n v="10024"/>
    <s v="East"/>
    <x v="181"/>
    <x v="0"/>
    <x v="3"/>
    <x v="180"/>
    <n v="33.264000000000003"/>
    <n v="7"/>
    <n v="0.2"/>
    <n v="186.2784"/>
    <n v="11.226599999999999"/>
  </r>
  <r>
    <n v="575"/>
    <x v="200"/>
    <x v="42"/>
    <d v="2020-11-07T00:00:00"/>
    <x v="1"/>
    <x v="177"/>
    <x v="177"/>
    <x v="1"/>
    <x v="0"/>
    <x v="104"/>
    <x v="3"/>
    <n v="98270"/>
    <s v="West"/>
    <x v="301"/>
    <x v="0"/>
    <x v="2"/>
    <x v="299"/>
    <n v="8.82"/>
    <n v="3"/>
    <n v="0"/>
    <n v="26.46"/>
    <n v="2.3814000000000002"/>
  </r>
  <r>
    <n v="576"/>
    <x v="201"/>
    <x v="168"/>
    <d v="2019-09-22T00:00:00"/>
    <x v="0"/>
    <x v="178"/>
    <x v="178"/>
    <x v="1"/>
    <x v="0"/>
    <x v="73"/>
    <x v="0"/>
    <n v="90805"/>
    <s v="West"/>
    <x v="298"/>
    <x v="0"/>
    <x v="5"/>
    <x v="296"/>
    <n v="160.72"/>
    <n v="14"/>
    <n v="0"/>
    <n v="2250.08"/>
    <n v="78.752800000000008"/>
  </r>
  <r>
    <n v="577"/>
    <x v="201"/>
    <x v="168"/>
    <d v="2019-09-22T00:00:00"/>
    <x v="0"/>
    <x v="178"/>
    <x v="178"/>
    <x v="1"/>
    <x v="0"/>
    <x v="73"/>
    <x v="0"/>
    <n v="90805"/>
    <s v="West"/>
    <x v="302"/>
    <x v="0"/>
    <x v="5"/>
    <x v="300"/>
    <n v="19.920000000000002"/>
    <n v="4"/>
    <n v="0"/>
    <n v="79.680000000000007"/>
    <n v="9.7608000000000015"/>
  </r>
  <r>
    <n v="578"/>
    <x v="201"/>
    <x v="168"/>
    <d v="2019-09-22T00:00:00"/>
    <x v="0"/>
    <x v="178"/>
    <x v="178"/>
    <x v="1"/>
    <x v="0"/>
    <x v="73"/>
    <x v="0"/>
    <n v="90805"/>
    <s v="West"/>
    <x v="303"/>
    <x v="0"/>
    <x v="8"/>
    <x v="301"/>
    <n v="7.3"/>
    <n v="2"/>
    <n v="0"/>
    <n v="14.6"/>
    <n v="2.1899999999999995"/>
  </r>
  <r>
    <n v="579"/>
    <x v="202"/>
    <x v="169"/>
    <d v="2021-07-26T00:00:00"/>
    <x v="1"/>
    <x v="179"/>
    <x v="179"/>
    <x v="1"/>
    <x v="0"/>
    <x v="23"/>
    <x v="17"/>
    <n v="60610"/>
    <s v="Central"/>
    <x v="74"/>
    <x v="0"/>
    <x v="1"/>
    <x v="74"/>
    <n v="69.712000000000003"/>
    <n v="2"/>
    <n v="0.2"/>
    <n v="111.53920000000001"/>
    <n v="8.7139999999999951"/>
  </r>
  <r>
    <n v="581"/>
    <x v="203"/>
    <x v="170"/>
    <d v="2019-09-14T00:00:00"/>
    <x v="1"/>
    <x v="180"/>
    <x v="180"/>
    <x v="1"/>
    <x v="0"/>
    <x v="0"/>
    <x v="0"/>
    <n v="90004"/>
    <s v="West"/>
    <x v="304"/>
    <x v="0"/>
    <x v="8"/>
    <x v="302"/>
    <n v="51.52"/>
    <n v="4"/>
    <n v="0"/>
    <n v="206.08"/>
    <n v="1.5456000000000003"/>
  </r>
  <r>
    <n v="584"/>
    <x v="204"/>
    <x v="73"/>
    <d v="2021-12-05T00:00:00"/>
    <x v="1"/>
    <x v="181"/>
    <x v="181"/>
    <x v="1"/>
    <x v="0"/>
    <x v="51"/>
    <x v="19"/>
    <n v="80219"/>
    <s v="West"/>
    <x v="58"/>
    <x v="0"/>
    <x v="4"/>
    <x v="58"/>
    <n v="31.152000000000001"/>
    <n v="3"/>
    <n v="0.2"/>
    <n v="74.764800000000008"/>
    <n v="3.5045999999999964"/>
  </r>
  <r>
    <n v="585"/>
    <x v="204"/>
    <x v="73"/>
    <d v="2021-12-05T00:00:00"/>
    <x v="1"/>
    <x v="181"/>
    <x v="181"/>
    <x v="1"/>
    <x v="0"/>
    <x v="51"/>
    <x v="19"/>
    <n v="80219"/>
    <s v="West"/>
    <x v="305"/>
    <x v="0"/>
    <x v="3"/>
    <x v="303"/>
    <n v="6.7830000000000004"/>
    <n v="7"/>
    <n v="0.7"/>
    <n v="14.244300000000003"/>
    <n v="-4.7480999999999973"/>
  </r>
  <r>
    <n v="588"/>
    <x v="205"/>
    <x v="171"/>
    <d v="2019-07-09T00:00:00"/>
    <x v="1"/>
    <x v="182"/>
    <x v="182"/>
    <x v="1"/>
    <x v="0"/>
    <x v="87"/>
    <x v="32"/>
    <n v="40475"/>
    <s v="South"/>
    <x v="306"/>
    <x v="0"/>
    <x v="0"/>
    <x v="304"/>
    <n v="294.93"/>
    <n v="3"/>
    <n v="0"/>
    <n v="884.79"/>
    <n v="144.51570000000001"/>
  </r>
  <r>
    <n v="590"/>
    <x v="206"/>
    <x v="172"/>
    <d v="2020-03-24T00:00:00"/>
    <x v="1"/>
    <x v="183"/>
    <x v="183"/>
    <x v="1"/>
    <x v="0"/>
    <x v="105"/>
    <x v="18"/>
    <n v="97301"/>
    <s v="West"/>
    <x v="307"/>
    <x v="0"/>
    <x v="5"/>
    <x v="305"/>
    <n v="20.736000000000004"/>
    <n v="4"/>
    <n v="0.2"/>
    <n v="66.355200000000011"/>
    <n v="7.2576000000000001"/>
  </r>
  <r>
    <n v="591"/>
    <x v="206"/>
    <x v="172"/>
    <d v="2020-03-24T00:00:00"/>
    <x v="1"/>
    <x v="183"/>
    <x v="183"/>
    <x v="1"/>
    <x v="0"/>
    <x v="105"/>
    <x v="18"/>
    <n v="97301"/>
    <s v="West"/>
    <x v="264"/>
    <x v="0"/>
    <x v="3"/>
    <x v="263"/>
    <n v="16.821000000000005"/>
    <n v="3"/>
    <n v="0.7"/>
    <n v="15.138900000000007"/>
    <n v="-12.896100000000004"/>
  </r>
  <r>
    <n v="592"/>
    <x v="206"/>
    <x v="172"/>
    <d v="2020-03-24T00:00:00"/>
    <x v="1"/>
    <x v="183"/>
    <x v="183"/>
    <x v="1"/>
    <x v="0"/>
    <x v="105"/>
    <x v="18"/>
    <n v="97301"/>
    <s v="West"/>
    <x v="308"/>
    <x v="0"/>
    <x v="5"/>
    <x v="306"/>
    <n v="10.368000000000002"/>
    <n v="2"/>
    <n v="0.2"/>
    <n v="16.588800000000003"/>
    <n v="3.6288"/>
  </r>
  <r>
    <n v="593"/>
    <x v="207"/>
    <x v="173"/>
    <d v="2018-01-13T00:00:00"/>
    <x v="1"/>
    <x v="184"/>
    <x v="184"/>
    <x v="1"/>
    <x v="0"/>
    <x v="106"/>
    <x v="4"/>
    <n v="78041"/>
    <s v="Central"/>
    <x v="309"/>
    <x v="0"/>
    <x v="2"/>
    <x v="307"/>
    <n v="9.3439999999999994"/>
    <n v="2"/>
    <n v="0.2"/>
    <n v="14.950399999999998"/>
    <n v="1.1679999999999997"/>
  </r>
  <r>
    <n v="595"/>
    <x v="208"/>
    <x v="174"/>
    <d v="2018-08-15T00:00:00"/>
    <x v="1"/>
    <x v="185"/>
    <x v="185"/>
    <x v="1"/>
    <x v="0"/>
    <x v="60"/>
    <x v="0"/>
    <n v="92024"/>
    <s v="West"/>
    <x v="310"/>
    <x v="0"/>
    <x v="4"/>
    <x v="308"/>
    <n v="76.12"/>
    <n v="2"/>
    <n v="0"/>
    <n v="152.24"/>
    <n v="22.074799999999996"/>
  </r>
  <r>
    <n v="599"/>
    <x v="209"/>
    <x v="175"/>
    <d v="2020-07-16T00:00:00"/>
    <x v="2"/>
    <x v="186"/>
    <x v="186"/>
    <x v="1"/>
    <x v="0"/>
    <x v="9"/>
    <x v="8"/>
    <n v="19134"/>
    <s v="East"/>
    <x v="311"/>
    <x v="0"/>
    <x v="8"/>
    <x v="309"/>
    <n v="11.632"/>
    <n v="2"/>
    <n v="0.2"/>
    <n v="18.6112"/>
    <n v="1.0178000000000007"/>
  </r>
  <r>
    <n v="602"/>
    <x v="210"/>
    <x v="65"/>
    <d v="2020-07-21T00:00:00"/>
    <x v="1"/>
    <x v="187"/>
    <x v="187"/>
    <x v="1"/>
    <x v="0"/>
    <x v="9"/>
    <x v="8"/>
    <n v="19120"/>
    <s v="East"/>
    <x v="303"/>
    <x v="0"/>
    <x v="8"/>
    <x v="301"/>
    <n v="5.84"/>
    <n v="2"/>
    <n v="0.2"/>
    <n v="9.3439999999999994"/>
    <n v="0.72999999999999954"/>
  </r>
  <r>
    <n v="603"/>
    <x v="211"/>
    <x v="176"/>
    <d v="2018-03-19T00:00:00"/>
    <x v="1"/>
    <x v="188"/>
    <x v="188"/>
    <x v="1"/>
    <x v="0"/>
    <x v="57"/>
    <x v="1"/>
    <n v="33614"/>
    <s v="South"/>
    <x v="312"/>
    <x v="0"/>
    <x v="1"/>
    <x v="310"/>
    <n v="142.77600000000001"/>
    <n v="1"/>
    <n v="0.2"/>
    <n v="114.22080000000001"/>
    <n v="17.84699999999998"/>
  </r>
  <r>
    <n v="605"/>
    <x v="211"/>
    <x v="176"/>
    <d v="2018-03-19T00:00:00"/>
    <x v="1"/>
    <x v="188"/>
    <x v="188"/>
    <x v="1"/>
    <x v="0"/>
    <x v="57"/>
    <x v="1"/>
    <n v="33614"/>
    <s v="South"/>
    <x v="234"/>
    <x v="0"/>
    <x v="3"/>
    <x v="234"/>
    <n v="7.218"/>
    <n v="3"/>
    <n v="0.7"/>
    <n v="6.4962000000000018"/>
    <n v="-5.5338000000000012"/>
  </r>
  <r>
    <n v="606"/>
    <x v="211"/>
    <x v="176"/>
    <d v="2018-03-19T00:00:00"/>
    <x v="1"/>
    <x v="188"/>
    <x v="188"/>
    <x v="1"/>
    <x v="0"/>
    <x v="57"/>
    <x v="1"/>
    <n v="33614"/>
    <s v="South"/>
    <x v="229"/>
    <x v="0"/>
    <x v="3"/>
    <x v="229"/>
    <n v="43.188000000000009"/>
    <n v="4"/>
    <n v="0.7"/>
    <n v="51.825600000000023"/>
    <n v="-31.671199999999999"/>
  </r>
  <r>
    <n v="607"/>
    <x v="211"/>
    <x v="176"/>
    <d v="2018-03-19T00:00:00"/>
    <x v="1"/>
    <x v="188"/>
    <x v="188"/>
    <x v="1"/>
    <x v="0"/>
    <x v="57"/>
    <x v="1"/>
    <n v="33614"/>
    <s v="South"/>
    <x v="313"/>
    <x v="0"/>
    <x v="5"/>
    <x v="311"/>
    <n v="131.904"/>
    <n v="3"/>
    <n v="0.2"/>
    <n v="316.56959999999998"/>
    <n v="47.815200000000004"/>
  </r>
  <r>
    <n v="608"/>
    <x v="212"/>
    <x v="177"/>
    <d v="2018-05-27T00:00:00"/>
    <x v="1"/>
    <x v="189"/>
    <x v="189"/>
    <x v="1"/>
    <x v="0"/>
    <x v="9"/>
    <x v="8"/>
    <n v="19134"/>
    <s v="East"/>
    <x v="314"/>
    <x v="0"/>
    <x v="3"/>
    <x v="312"/>
    <n v="3.2820000000000005"/>
    <n v="2"/>
    <n v="0.7"/>
    <n v="1.9692000000000007"/>
    <n v="-2.6256000000000004"/>
  </r>
  <r>
    <n v="609"/>
    <x v="212"/>
    <x v="177"/>
    <d v="2018-05-27T00:00:00"/>
    <x v="1"/>
    <x v="189"/>
    <x v="189"/>
    <x v="1"/>
    <x v="0"/>
    <x v="9"/>
    <x v="8"/>
    <n v="19134"/>
    <s v="East"/>
    <x v="273"/>
    <x v="0"/>
    <x v="2"/>
    <x v="273"/>
    <n v="21.167999999999999"/>
    <n v="9"/>
    <n v="0.2"/>
    <n v="152.40960000000001"/>
    <n v="2.3813999999999984"/>
  </r>
  <r>
    <n v="612"/>
    <x v="213"/>
    <x v="178"/>
    <d v="2020-05-01T00:00:00"/>
    <x v="2"/>
    <x v="190"/>
    <x v="190"/>
    <x v="0"/>
    <x v="0"/>
    <x v="52"/>
    <x v="4"/>
    <n v="75217"/>
    <s v="Central"/>
    <x v="315"/>
    <x v="0"/>
    <x v="0"/>
    <x v="313"/>
    <n v="15.712000000000002"/>
    <n v="4"/>
    <n v="0.2"/>
    <n v="50.278400000000005"/>
    <n v="5.6955999999999989"/>
  </r>
  <r>
    <n v="613"/>
    <x v="214"/>
    <x v="82"/>
    <d v="2020-09-13T00:00:00"/>
    <x v="0"/>
    <x v="191"/>
    <x v="191"/>
    <x v="0"/>
    <x v="0"/>
    <x v="9"/>
    <x v="8"/>
    <n v="19143"/>
    <s v="East"/>
    <x v="316"/>
    <x v="0"/>
    <x v="5"/>
    <x v="314"/>
    <n v="8.4480000000000004"/>
    <n v="2"/>
    <n v="0.2"/>
    <n v="13.5168"/>
    <n v="2.6399999999999997"/>
  </r>
  <r>
    <n v="616"/>
    <x v="215"/>
    <x v="179"/>
    <d v="2021-11-17T00:00:00"/>
    <x v="0"/>
    <x v="192"/>
    <x v="192"/>
    <x v="1"/>
    <x v="0"/>
    <x v="107"/>
    <x v="21"/>
    <n v="43123"/>
    <s v="East"/>
    <x v="317"/>
    <x v="0"/>
    <x v="3"/>
    <x v="315"/>
    <n v="3.6480000000000006"/>
    <n v="2"/>
    <n v="0.7"/>
    <n v="2.1888000000000005"/>
    <n v="-2.7967999999999993"/>
  </r>
  <r>
    <n v="619"/>
    <x v="216"/>
    <x v="180"/>
    <d v="2021-08-23T00:00:00"/>
    <x v="0"/>
    <x v="193"/>
    <x v="193"/>
    <x v="0"/>
    <x v="0"/>
    <x v="15"/>
    <x v="12"/>
    <n v="10011"/>
    <s v="East"/>
    <x v="318"/>
    <x v="0"/>
    <x v="3"/>
    <x v="316"/>
    <n v="107.42400000000001"/>
    <n v="9"/>
    <n v="0.2"/>
    <n v="773.45280000000002"/>
    <n v="33.569999999999986"/>
  </r>
  <r>
    <n v="622"/>
    <x v="217"/>
    <x v="94"/>
    <d v="2018-12-31T00:00:00"/>
    <x v="1"/>
    <x v="194"/>
    <x v="194"/>
    <x v="1"/>
    <x v="0"/>
    <x v="23"/>
    <x v="17"/>
    <n v="60610"/>
    <s v="Central"/>
    <x v="319"/>
    <x v="0"/>
    <x v="3"/>
    <x v="317"/>
    <n v="8.6899999999999977"/>
    <n v="5"/>
    <n v="0.8"/>
    <n v="8.6899999999999977"/>
    <n v="-14.773"/>
  </r>
  <r>
    <n v="624"/>
    <x v="218"/>
    <x v="181"/>
    <d v="2019-12-03T00:00:00"/>
    <x v="1"/>
    <x v="195"/>
    <x v="195"/>
    <x v="0"/>
    <x v="0"/>
    <x v="108"/>
    <x v="10"/>
    <n v="48126"/>
    <s v="Central"/>
    <x v="320"/>
    <x v="0"/>
    <x v="4"/>
    <x v="318"/>
    <n v="555.21"/>
    <n v="5"/>
    <n v="0.1"/>
    <n v="2498.4450000000002"/>
    <n v="178.90100000000001"/>
  </r>
  <r>
    <n v="625"/>
    <x v="218"/>
    <x v="181"/>
    <d v="2019-12-03T00:00:00"/>
    <x v="1"/>
    <x v="195"/>
    <x v="195"/>
    <x v="0"/>
    <x v="0"/>
    <x v="108"/>
    <x v="10"/>
    <n v="48126"/>
    <s v="Central"/>
    <x v="321"/>
    <x v="0"/>
    <x v="1"/>
    <x v="319"/>
    <n v="523.48"/>
    <n v="4"/>
    <n v="0"/>
    <n v="2093.92"/>
    <n v="130.87"/>
  </r>
  <r>
    <n v="626"/>
    <x v="218"/>
    <x v="181"/>
    <d v="2019-12-03T00:00:00"/>
    <x v="1"/>
    <x v="195"/>
    <x v="195"/>
    <x v="0"/>
    <x v="0"/>
    <x v="108"/>
    <x v="10"/>
    <n v="48126"/>
    <s v="Central"/>
    <x v="18"/>
    <x v="0"/>
    <x v="2"/>
    <x v="18"/>
    <n v="161.82"/>
    <n v="9"/>
    <n v="0"/>
    <n v="1456.3799999999999"/>
    <n v="46.927799999999984"/>
  </r>
  <r>
    <n v="628"/>
    <x v="219"/>
    <x v="182"/>
    <d v="2021-05-23T00:00:00"/>
    <x v="1"/>
    <x v="196"/>
    <x v="196"/>
    <x v="1"/>
    <x v="0"/>
    <x v="3"/>
    <x v="3"/>
    <n v="98115"/>
    <s v="West"/>
    <x v="322"/>
    <x v="0"/>
    <x v="4"/>
    <x v="320"/>
    <n v="97.16"/>
    <n v="2"/>
    <n v="0"/>
    <n v="194.32"/>
    <n v="28.176399999999987"/>
  </r>
  <r>
    <n v="629"/>
    <x v="220"/>
    <x v="72"/>
    <d v="2021-12-21T00:00:00"/>
    <x v="1"/>
    <x v="75"/>
    <x v="75"/>
    <x v="1"/>
    <x v="0"/>
    <x v="7"/>
    <x v="0"/>
    <n v="94122"/>
    <s v="West"/>
    <x v="323"/>
    <x v="0"/>
    <x v="3"/>
    <x v="321"/>
    <n v="15.24"/>
    <n v="5"/>
    <n v="0.2"/>
    <n v="60.96"/>
    <n v="5.1434999999999977"/>
  </r>
  <r>
    <n v="630"/>
    <x v="220"/>
    <x v="72"/>
    <d v="2021-12-21T00:00:00"/>
    <x v="1"/>
    <x v="75"/>
    <x v="75"/>
    <x v="1"/>
    <x v="0"/>
    <x v="7"/>
    <x v="0"/>
    <n v="94122"/>
    <s v="West"/>
    <x v="149"/>
    <x v="0"/>
    <x v="5"/>
    <x v="149"/>
    <n v="13.23"/>
    <n v="3"/>
    <n v="0"/>
    <n v="39.69"/>
    <n v="6.0857999999999999"/>
  </r>
  <r>
    <n v="631"/>
    <x v="221"/>
    <x v="19"/>
    <d v="2020-12-13T00:00:00"/>
    <x v="0"/>
    <x v="197"/>
    <x v="197"/>
    <x v="1"/>
    <x v="0"/>
    <x v="28"/>
    <x v="19"/>
    <n v="80013"/>
    <s v="West"/>
    <x v="324"/>
    <x v="0"/>
    <x v="1"/>
    <x v="322"/>
    <n v="243.38400000000001"/>
    <n v="3"/>
    <n v="0.2"/>
    <n v="584.12160000000006"/>
    <n v="-51.719100000000012"/>
  </r>
  <r>
    <n v="635"/>
    <x v="222"/>
    <x v="183"/>
    <d v="2021-09-26T00:00:00"/>
    <x v="0"/>
    <x v="160"/>
    <x v="160"/>
    <x v="1"/>
    <x v="0"/>
    <x v="85"/>
    <x v="1"/>
    <n v="33180"/>
    <s v="South"/>
    <x v="306"/>
    <x v="0"/>
    <x v="0"/>
    <x v="304"/>
    <n v="235.94400000000002"/>
    <n v="3"/>
    <n v="0.2"/>
    <n v="566.26560000000006"/>
    <n v="85.529700000000005"/>
  </r>
  <r>
    <n v="637"/>
    <x v="223"/>
    <x v="184"/>
    <d v="2020-08-21T00:00:00"/>
    <x v="1"/>
    <x v="198"/>
    <x v="198"/>
    <x v="1"/>
    <x v="0"/>
    <x v="28"/>
    <x v="19"/>
    <n v="80013"/>
    <s v="West"/>
    <x v="325"/>
    <x v="0"/>
    <x v="3"/>
    <x v="323"/>
    <n v="18.882000000000005"/>
    <n v="3"/>
    <n v="0.7"/>
    <n v="16.993800000000007"/>
    <n v="-13.846800000000002"/>
  </r>
  <r>
    <n v="638"/>
    <x v="223"/>
    <x v="184"/>
    <d v="2020-08-21T00:00:00"/>
    <x v="1"/>
    <x v="198"/>
    <x v="198"/>
    <x v="1"/>
    <x v="0"/>
    <x v="28"/>
    <x v="19"/>
    <n v="80013"/>
    <s v="West"/>
    <x v="326"/>
    <x v="0"/>
    <x v="4"/>
    <x v="324"/>
    <n v="122.328"/>
    <n v="3"/>
    <n v="0.2"/>
    <n v="293.58720000000005"/>
    <n v="12.232799999999997"/>
  </r>
  <r>
    <n v="640"/>
    <x v="224"/>
    <x v="185"/>
    <d v="2020-05-25T00:00:00"/>
    <x v="1"/>
    <x v="38"/>
    <x v="38"/>
    <x v="2"/>
    <x v="0"/>
    <x v="109"/>
    <x v="0"/>
    <n v="94591"/>
    <s v="West"/>
    <x v="327"/>
    <x v="0"/>
    <x v="3"/>
    <x v="325"/>
    <n v="15.424000000000001"/>
    <n v="4"/>
    <n v="0.2"/>
    <n v="49.356800000000007"/>
    <n v="5.0128000000000004"/>
  </r>
  <r>
    <n v="642"/>
    <x v="225"/>
    <x v="186"/>
    <d v="2021-08-03T00:00:00"/>
    <x v="0"/>
    <x v="199"/>
    <x v="199"/>
    <x v="1"/>
    <x v="0"/>
    <x v="110"/>
    <x v="0"/>
    <n v="92691"/>
    <s v="West"/>
    <x v="328"/>
    <x v="0"/>
    <x v="1"/>
    <x v="326"/>
    <n v="330.4"/>
    <n v="2"/>
    <n v="0"/>
    <n v="660.8"/>
    <n v="85.903999999999996"/>
  </r>
  <r>
    <n v="643"/>
    <x v="225"/>
    <x v="186"/>
    <d v="2021-08-03T00:00:00"/>
    <x v="0"/>
    <x v="199"/>
    <x v="199"/>
    <x v="1"/>
    <x v="0"/>
    <x v="110"/>
    <x v="0"/>
    <n v="92691"/>
    <s v="West"/>
    <x v="329"/>
    <x v="0"/>
    <x v="0"/>
    <x v="327"/>
    <n v="26.25"/>
    <n v="7"/>
    <n v="0"/>
    <n v="183.75"/>
    <n v="12.599999999999998"/>
  </r>
  <r>
    <n v="645"/>
    <x v="226"/>
    <x v="187"/>
    <d v="2021-07-25T00:00:00"/>
    <x v="1"/>
    <x v="53"/>
    <x v="53"/>
    <x v="2"/>
    <x v="0"/>
    <x v="111"/>
    <x v="27"/>
    <n v="7060"/>
    <s v="East"/>
    <x v="330"/>
    <x v="0"/>
    <x v="5"/>
    <x v="328"/>
    <n v="6.48"/>
    <n v="1"/>
    <n v="0"/>
    <n v="6.48"/>
    <n v="3.1752000000000002"/>
  </r>
  <r>
    <n v="646"/>
    <x v="227"/>
    <x v="188"/>
    <d v="2018-01-05T00:00:00"/>
    <x v="1"/>
    <x v="200"/>
    <x v="200"/>
    <x v="2"/>
    <x v="0"/>
    <x v="31"/>
    <x v="11"/>
    <n v="47201"/>
    <s v="Central"/>
    <x v="331"/>
    <x v="0"/>
    <x v="4"/>
    <x v="329"/>
    <n v="209.3"/>
    <n v="2"/>
    <n v="0"/>
    <n v="418.6"/>
    <n v="56.510999999999996"/>
  </r>
  <r>
    <n v="647"/>
    <x v="228"/>
    <x v="138"/>
    <d v="2020-04-08T00:00:00"/>
    <x v="1"/>
    <x v="93"/>
    <x v="93"/>
    <x v="0"/>
    <x v="0"/>
    <x v="112"/>
    <x v="13"/>
    <n v="85635"/>
    <s v="West"/>
    <x v="332"/>
    <x v="0"/>
    <x v="7"/>
    <x v="76"/>
    <n v="31.560000000000002"/>
    <n v="5"/>
    <n v="0.2"/>
    <n v="126.24000000000001"/>
    <n v="9.8624999999999972"/>
  </r>
  <r>
    <n v="648"/>
    <x v="228"/>
    <x v="138"/>
    <d v="2020-04-08T00:00:00"/>
    <x v="1"/>
    <x v="93"/>
    <x v="93"/>
    <x v="0"/>
    <x v="0"/>
    <x v="112"/>
    <x v="13"/>
    <n v="85635"/>
    <s v="West"/>
    <x v="333"/>
    <x v="0"/>
    <x v="4"/>
    <x v="330"/>
    <n v="30.144000000000002"/>
    <n v="2"/>
    <n v="0.2"/>
    <n v="48.230400000000003"/>
    <n v="3.0143999999999993"/>
  </r>
  <r>
    <n v="652"/>
    <x v="229"/>
    <x v="189"/>
    <d v="2020-10-29T00:00:00"/>
    <x v="1"/>
    <x v="201"/>
    <x v="201"/>
    <x v="2"/>
    <x v="0"/>
    <x v="15"/>
    <x v="12"/>
    <n v="10024"/>
    <s v="East"/>
    <x v="38"/>
    <x v="0"/>
    <x v="5"/>
    <x v="38"/>
    <n v="379.4"/>
    <n v="10"/>
    <n v="0"/>
    <n v="3794"/>
    <n v="178.31799999999998"/>
  </r>
  <r>
    <n v="653"/>
    <x v="230"/>
    <x v="190"/>
    <d v="2021-06-23T00:00:00"/>
    <x v="1"/>
    <x v="202"/>
    <x v="202"/>
    <x v="0"/>
    <x v="0"/>
    <x v="15"/>
    <x v="12"/>
    <n v="10035"/>
    <s v="East"/>
    <x v="36"/>
    <x v="0"/>
    <x v="5"/>
    <x v="36"/>
    <n v="97.82"/>
    <n v="2"/>
    <n v="0"/>
    <n v="195.64"/>
    <n v="45.975399999999993"/>
  </r>
  <r>
    <n v="655"/>
    <x v="231"/>
    <x v="191"/>
    <d v="2020-08-28T00:00:00"/>
    <x v="1"/>
    <x v="203"/>
    <x v="203"/>
    <x v="1"/>
    <x v="0"/>
    <x v="31"/>
    <x v="21"/>
    <n v="43229"/>
    <s v="East"/>
    <x v="334"/>
    <x v="0"/>
    <x v="4"/>
    <x v="331"/>
    <n v="113.55200000000001"/>
    <n v="2"/>
    <n v="0.2"/>
    <n v="181.6832"/>
    <n v="8.5163999999999938"/>
  </r>
  <r>
    <n v="656"/>
    <x v="231"/>
    <x v="191"/>
    <d v="2020-08-28T00:00:00"/>
    <x v="1"/>
    <x v="203"/>
    <x v="203"/>
    <x v="1"/>
    <x v="0"/>
    <x v="31"/>
    <x v="21"/>
    <n v="43229"/>
    <s v="East"/>
    <x v="335"/>
    <x v="0"/>
    <x v="3"/>
    <x v="332"/>
    <n v="3.3180000000000005"/>
    <n v="2"/>
    <n v="0.7"/>
    <n v="1.990800000000001"/>
    <n v="-2.6543999999999999"/>
  </r>
  <r>
    <n v="657"/>
    <x v="231"/>
    <x v="191"/>
    <d v="2020-08-28T00:00:00"/>
    <x v="1"/>
    <x v="203"/>
    <x v="203"/>
    <x v="1"/>
    <x v="0"/>
    <x v="31"/>
    <x v="21"/>
    <n v="43229"/>
    <s v="East"/>
    <x v="336"/>
    <x v="0"/>
    <x v="6"/>
    <x v="333"/>
    <n v="134.28800000000001"/>
    <n v="2"/>
    <n v="0.2"/>
    <n v="214.86080000000001"/>
    <n v="45.322199999999995"/>
  </r>
  <r>
    <n v="659"/>
    <x v="232"/>
    <x v="192"/>
    <d v="2020-09-19T00:00:00"/>
    <x v="3"/>
    <x v="204"/>
    <x v="204"/>
    <x v="2"/>
    <x v="0"/>
    <x v="28"/>
    <x v="17"/>
    <n v="60505"/>
    <s v="Central"/>
    <x v="39"/>
    <x v="0"/>
    <x v="3"/>
    <x v="39"/>
    <n v="2.3079999999999994"/>
    <n v="2"/>
    <n v="0.8"/>
    <n v="0.92319999999999958"/>
    <n v="-3.4619999999999997"/>
  </r>
  <r>
    <n v="660"/>
    <x v="233"/>
    <x v="193"/>
    <d v="2019-08-28T00:00:00"/>
    <x v="1"/>
    <x v="70"/>
    <x v="70"/>
    <x v="1"/>
    <x v="0"/>
    <x v="70"/>
    <x v="4"/>
    <n v="76017"/>
    <s v="Central"/>
    <x v="312"/>
    <x v="0"/>
    <x v="1"/>
    <x v="310"/>
    <n v="999.43200000000002"/>
    <n v="7"/>
    <n v="0.2"/>
    <n v="5596.8191999999999"/>
    <n v="124.92899999999986"/>
  </r>
  <r>
    <n v="661"/>
    <x v="233"/>
    <x v="193"/>
    <d v="2019-08-28T00:00:00"/>
    <x v="1"/>
    <x v="70"/>
    <x v="70"/>
    <x v="1"/>
    <x v="0"/>
    <x v="70"/>
    <x v="4"/>
    <n v="76017"/>
    <s v="Central"/>
    <x v="337"/>
    <x v="0"/>
    <x v="1"/>
    <x v="334"/>
    <n v="724.08"/>
    <n v="14"/>
    <n v="0.2"/>
    <n v="8109.6960000000008"/>
    <n v="-135.7650000000001"/>
  </r>
  <r>
    <n v="663"/>
    <x v="233"/>
    <x v="193"/>
    <d v="2019-08-28T00:00:00"/>
    <x v="1"/>
    <x v="70"/>
    <x v="70"/>
    <x v="1"/>
    <x v="0"/>
    <x v="70"/>
    <x v="4"/>
    <n v="76017"/>
    <s v="Central"/>
    <x v="65"/>
    <x v="0"/>
    <x v="3"/>
    <x v="65"/>
    <n v="2.7239999999999993"/>
    <n v="3"/>
    <n v="0.8"/>
    <n v="1.6343999999999994"/>
    <n v="-4.2222000000000008"/>
  </r>
  <r>
    <n v="664"/>
    <x v="234"/>
    <x v="194"/>
    <d v="2020-03-30T00:00:00"/>
    <x v="1"/>
    <x v="205"/>
    <x v="205"/>
    <x v="0"/>
    <x v="0"/>
    <x v="15"/>
    <x v="12"/>
    <n v="10011"/>
    <s v="East"/>
    <x v="123"/>
    <x v="0"/>
    <x v="1"/>
    <x v="123"/>
    <n v="459.95"/>
    <n v="5"/>
    <n v="0"/>
    <n v="2299.75"/>
    <n v="18.397999999999968"/>
  </r>
  <r>
    <n v="665"/>
    <x v="235"/>
    <x v="195"/>
    <d v="2020-11-04T00:00:00"/>
    <x v="3"/>
    <x v="206"/>
    <x v="206"/>
    <x v="1"/>
    <x v="0"/>
    <x v="113"/>
    <x v="32"/>
    <n v="40214"/>
    <s v="South"/>
    <x v="66"/>
    <x v="0"/>
    <x v="7"/>
    <x v="66"/>
    <n v="10.74"/>
    <n v="3"/>
    <n v="0"/>
    <n v="32.22"/>
    <n v="5.2625999999999999"/>
  </r>
  <r>
    <n v="666"/>
    <x v="236"/>
    <x v="85"/>
    <d v="2021-06-10T00:00:00"/>
    <x v="0"/>
    <x v="207"/>
    <x v="207"/>
    <x v="0"/>
    <x v="0"/>
    <x v="52"/>
    <x v="4"/>
    <n v="75081"/>
    <s v="Central"/>
    <x v="338"/>
    <x v="0"/>
    <x v="8"/>
    <x v="335"/>
    <n v="23.76"/>
    <n v="3"/>
    <n v="0.2"/>
    <n v="57.024000000000001"/>
    <n v="2.0789999999999997"/>
  </r>
  <r>
    <n v="667"/>
    <x v="236"/>
    <x v="85"/>
    <d v="2021-06-10T00:00:00"/>
    <x v="0"/>
    <x v="207"/>
    <x v="207"/>
    <x v="0"/>
    <x v="0"/>
    <x v="52"/>
    <x v="4"/>
    <n v="75081"/>
    <s v="Central"/>
    <x v="156"/>
    <x v="0"/>
    <x v="5"/>
    <x v="21"/>
    <n v="85.055999999999997"/>
    <n v="3"/>
    <n v="0.2"/>
    <n v="204.1344"/>
    <n v="28.706399999999991"/>
  </r>
  <r>
    <n v="672"/>
    <x v="237"/>
    <x v="196"/>
    <d v="2021-06-13T00:00:00"/>
    <x v="1"/>
    <x v="208"/>
    <x v="208"/>
    <x v="2"/>
    <x v="0"/>
    <x v="23"/>
    <x v="17"/>
    <n v="60653"/>
    <s v="Central"/>
    <x v="75"/>
    <x v="0"/>
    <x v="5"/>
    <x v="336"/>
    <n v="36.351999999999997"/>
    <n v="8"/>
    <n v="0.2"/>
    <n v="232.65279999999998"/>
    <n v="11.359999999999998"/>
  </r>
  <r>
    <n v="673"/>
    <x v="238"/>
    <x v="197"/>
    <d v="2021-06-22T00:00:00"/>
    <x v="1"/>
    <x v="111"/>
    <x v="111"/>
    <x v="1"/>
    <x v="0"/>
    <x v="81"/>
    <x v="17"/>
    <n v="62301"/>
    <s v="Central"/>
    <x v="339"/>
    <x v="0"/>
    <x v="2"/>
    <x v="337"/>
    <n v="19.559999999999999"/>
    <n v="5"/>
    <n v="0.2"/>
    <n v="78.239999999999995"/>
    <n v="1.7115"/>
  </r>
  <r>
    <n v="674"/>
    <x v="239"/>
    <x v="198"/>
    <d v="2021-12-08T00:00:00"/>
    <x v="2"/>
    <x v="209"/>
    <x v="209"/>
    <x v="1"/>
    <x v="0"/>
    <x v="31"/>
    <x v="11"/>
    <n v="47201"/>
    <s v="Central"/>
    <x v="340"/>
    <x v="0"/>
    <x v="4"/>
    <x v="338"/>
    <n v="61.44"/>
    <n v="3"/>
    <n v="0"/>
    <n v="184.32"/>
    <n v="16.588799999999999"/>
  </r>
  <r>
    <n v="675"/>
    <x v="239"/>
    <x v="198"/>
    <d v="2021-12-08T00:00:00"/>
    <x v="2"/>
    <x v="209"/>
    <x v="209"/>
    <x v="1"/>
    <x v="0"/>
    <x v="31"/>
    <x v="11"/>
    <n v="47201"/>
    <s v="Central"/>
    <x v="341"/>
    <x v="0"/>
    <x v="5"/>
    <x v="339"/>
    <n v="38.9"/>
    <n v="5"/>
    <n v="0"/>
    <n v="194.5"/>
    <n v="17.504999999999995"/>
  </r>
  <r>
    <n v="677"/>
    <x v="240"/>
    <x v="199"/>
    <d v="2021-03-23T00:00:00"/>
    <x v="1"/>
    <x v="210"/>
    <x v="210"/>
    <x v="1"/>
    <x v="0"/>
    <x v="114"/>
    <x v="4"/>
    <n v="75701"/>
    <s v="Central"/>
    <x v="342"/>
    <x v="0"/>
    <x v="4"/>
    <x v="340"/>
    <n v="2.6879999999999997"/>
    <n v="3"/>
    <n v="0.8"/>
    <n v="1.6128"/>
    <n v="-7.3920000000000021"/>
  </r>
  <r>
    <n v="680"/>
    <x v="240"/>
    <x v="199"/>
    <d v="2021-03-23T00:00:00"/>
    <x v="1"/>
    <x v="210"/>
    <x v="210"/>
    <x v="1"/>
    <x v="0"/>
    <x v="114"/>
    <x v="4"/>
    <n v="75701"/>
    <s v="Central"/>
    <x v="343"/>
    <x v="0"/>
    <x v="3"/>
    <x v="341"/>
    <n v="182.99399999999997"/>
    <n v="3"/>
    <n v="0.8"/>
    <n v="109.79639999999995"/>
    <n v="-320.23950000000013"/>
  </r>
  <r>
    <n v="681"/>
    <x v="241"/>
    <x v="200"/>
    <d v="2020-11-24T00:00:00"/>
    <x v="1"/>
    <x v="211"/>
    <x v="211"/>
    <x v="1"/>
    <x v="0"/>
    <x v="15"/>
    <x v="12"/>
    <n v="10024"/>
    <s v="East"/>
    <x v="344"/>
    <x v="0"/>
    <x v="3"/>
    <x v="342"/>
    <n v="14.352000000000002"/>
    <n v="3"/>
    <n v="0.2"/>
    <n v="34.444800000000001"/>
    <n v="4.6643999999999988"/>
  </r>
  <r>
    <n v="682"/>
    <x v="241"/>
    <x v="200"/>
    <d v="2020-11-24T00:00:00"/>
    <x v="1"/>
    <x v="211"/>
    <x v="211"/>
    <x v="1"/>
    <x v="0"/>
    <x v="15"/>
    <x v="12"/>
    <n v="10024"/>
    <s v="East"/>
    <x v="345"/>
    <x v="0"/>
    <x v="1"/>
    <x v="343"/>
    <n v="64.959999999999994"/>
    <n v="2"/>
    <n v="0"/>
    <n v="129.91999999999999"/>
    <n v="2.598399999999998"/>
  </r>
  <r>
    <n v="683"/>
    <x v="241"/>
    <x v="200"/>
    <d v="2020-11-24T00:00:00"/>
    <x v="1"/>
    <x v="211"/>
    <x v="211"/>
    <x v="1"/>
    <x v="0"/>
    <x v="15"/>
    <x v="12"/>
    <n v="10024"/>
    <s v="East"/>
    <x v="274"/>
    <x v="0"/>
    <x v="1"/>
    <x v="274"/>
    <n v="68.599999999999994"/>
    <n v="4"/>
    <n v="0"/>
    <n v="274.39999999999998"/>
    <n v="18.521999999999998"/>
  </r>
  <r>
    <n v="685"/>
    <x v="242"/>
    <x v="201"/>
    <d v="2021-11-04T00:00:00"/>
    <x v="3"/>
    <x v="212"/>
    <x v="212"/>
    <x v="0"/>
    <x v="0"/>
    <x v="115"/>
    <x v="2"/>
    <n v="27217"/>
    <s v="South"/>
    <x v="331"/>
    <x v="0"/>
    <x v="4"/>
    <x v="329"/>
    <n v="167.44000000000003"/>
    <n v="2"/>
    <n v="0.2"/>
    <n v="267.90400000000005"/>
    <n v="14.650999999999989"/>
  </r>
  <r>
    <n v="687"/>
    <x v="243"/>
    <x v="202"/>
    <d v="2018-07-08T00:00:00"/>
    <x v="2"/>
    <x v="213"/>
    <x v="213"/>
    <x v="1"/>
    <x v="0"/>
    <x v="19"/>
    <x v="35"/>
    <n v="39212"/>
    <s v="South"/>
    <x v="346"/>
    <x v="0"/>
    <x v="0"/>
    <x v="344"/>
    <n v="14.62"/>
    <n v="2"/>
    <n v="0"/>
    <n v="29.24"/>
    <n v="6.8713999999999995"/>
  </r>
  <r>
    <n v="688"/>
    <x v="243"/>
    <x v="202"/>
    <d v="2018-07-08T00:00:00"/>
    <x v="2"/>
    <x v="213"/>
    <x v="213"/>
    <x v="1"/>
    <x v="0"/>
    <x v="19"/>
    <x v="35"/>
    <n v="39212"/>
    <s v="South"/>
    <x v="53"/>
    <x v="0"/>
    <x v="5"/>
    <x v="53"/>
    <n v="19.440000000000001"/>
    <n v="3"/>
    <n v="0"/>
    <n v="58.320000000000007"/>
    <n v="9.3312000000000008"/>
  </r>
  <r>
    <n v="692"/>
    <x v="244"/>
    <x v="203"/>
    <d v="2018-06-23T00:00:00"/>
    <x v="0"/>
    <x v="214"/>
    <x v="214"/>
    <x v="1"/>
    <x v="0"/>
    <x v="116"/>
    <x v="14"/>
    <n v="22980"/>
    <s v="South"/>
    <x v="347"/>
    <x v="0"/>
    <x v="1"/>
    <x v="345"/>
    <n v="36.839999999999996"/>
    <n v="3"/>
    <n v="0"/>
    <n v="110.51999999999998"/>
    <n v="10.315199999999999"/>
  </r>
  <r>
    <n v="694"/>
    <x v="245"/>
    <x v="204"/>
    <d v="2019-04-02T00:00:00"/>
    <x v="1"/>
    <x v="215"/>
    <x v="215"/>
    <x v="1"/>
    <x v="0"/>
    <x v="0"/>
    <x v="0"/>
    <n v="90036"/>
    <s v="West"/>
    <x v="348"/>
    <x v="0"/>
    <x v="5"/>
    <x v="346"/>
    <n v="33.4"/>
    <n v="5"/>
    <n v="0"/>
    <n v="167"/>
    <n v="16.032"/>
  </r>
  <r>
    <n v="695"/>
    <x v="246"/>
    <x v="205"/>
    <d v="2019-05-17T00:00:00"/>
    <x v="2"/>
    <x v="216"/>
    <x v="216"/>
    <x v="2"/>
    <x v="0"/>
    <x v="117"/>
    <x v="8"/>
    <n v="19013"/>
    <s v="East"/>
    <x v="174"/>
    <x v="0"/>
    <x v="2"/>
    <x v="173"/>
    <n v="198.27200000000002"/>
    <n v="8"/>
    <n v="0.2"/>
    <n v="1268.9408000000001"/>
    <n v="17.34879999999999"/>
  </r>
  <r>
    <n v="696"/>
    <x v="246"/>
    <x v="205"/>
    <d v="2019-05-17T00:00:00"/>
    <x v="2"/>
    <x v="216"/>
    <x v="216"/>
    <x v="2"/>
    <x v="0"/>
    <x v="117"/>
    <x v="8"/>
    <n v="19013"/>
    <s v="East"/>
    <x v="349"/>
    <x v="0"/>
    <x v="0"/>
    <x v="347"/>
    <n v="47.360000000000007"/>
    <n v="4"/>
    <n v="0.2"/>
    <n v="151.55200000000002"/>
    <n v="17.759999999999998"/>
  </r>
  <r>
    <n v="697"/>
    <x v="246"/>
    <x v="205"/>
    <d v="2019-05-17T00:00:00"/>
    <x v="2"/>
    <x v="216"/>
    <x v="216"/>
    <x v="2"/>
    <x v="0"/>
    <x v="117"/>
    <x v="8"/>
    <n v="19013"/>
    <s v="East"/>
    <x v="48"/>
    <x v="0"/>
    <x v="6"/>
    <x v="48"/>
    <n v="200.98400000000004"/>
    <n v="7"/>
    <n v="0.2"/>
    <n v="1125.5104000000003"/>
    <n v="62.807499999999976"/>
  </r>
  <r>
    <n v="698"/>
    <x v="246"/>
    <x v="205"/>
    <d v="2019-05-17T00:00:00"/>
    <x v="2"/>
    <x v="216"/>
    <x v="216"/>
    <x v="2"/>
    <x v="0"/>
    <x v="117"/>
    <x v="8"/>
    <n v="19013"/>
    <s v="East"/>
    <x v="350"/>
    <x v="0"/>
    <x v="0"/>
    <x v="348"/>
    <n v="97.696000000000012"/>
    <n v="4"/>
    <n v="0.2"/>
    <n v="312.62720000000002"/>
    <n v="31.751200000000001"/>
  </r>
  <r>
    <n v="699"/>
    <x v="246"/>
    <x v="205"/>
    <d v="2019-05-17T00:00:00"/>
    <x v="2"/>
    <x v="216"/>
    <x v="216"/>
    <x v="2"/>
    <x v="0"/>
    <x v="117"/>
    <x v="8"/>
    <n v="19013"/>
    <s v="East"/>
    <x v="351"/>
    <x v="0"/>
    <x v="2"/>
    <x v="349"/>
    <n v="2.6960000000000002"/>
    <n v="1"/>
    <n v="0.2"/>
    <n v="2.1568000000000001"/>
    <n v="0.8088000000000003"/>
  </r>
  <r>
    <n v="700"/>
    <x v="246"/>
    <x v="205"/>
    <d v="2019-05-17T00:00:00"/>
    <x v="2"/>
    <x v="216"/>
    <x v="216"/>
    <x v="2"/>
    <x v="0"/>
    <x v="117"/>
    <x v="8"/>
    <n v="19013"/>
    <s v="East"/>
    <x v="352"/>
    <x v="0"/>
    <x v="3"/>
    <x v="350"/>
    <n v="18.588000000000005"/>
    <n v="2"/>
    <n v="0.7"/>
    <n v="11.152800000000003"/>
    <n v="-13.6312"/>
  </r>
  <r>
    <n v="701"/>
    <x v="246"/>
    <x v="205"/>
    <d v="2019-05-17T00:00:00"/>
    <x v="2"/>
    <x v="216"/>
    <x v="216"/>
    <x v="2"/>
    <x v="0"/>
    <x v="117"/>
    <x v="8"/>
    <n v="19013"/>
    <s v="East"/>
    <x v="180"/>
    <x v="0"/>
    <x v="3"/>
    <x v="179"/>
    <n v="4.8960000000000008"/>
    <n v="3"/>
    <n v="0.7"/>
    <n v="4.4064000000000014"/>
    <n v="-3.4271999999999991"/>
  </r>
  <r>
    <n v="705"/>
    <x v="247"/>
    <x v="206"/>
    <d v="2018-09-17T00:00:00"/>
    <x v="1"/>
    <x v="217"/>
    <x v="217"/>
    <x v="0"/>
    <x v="0"/>
    <x v="118"/>
    <x v="2"/>
    <n v="27511"/>
    <s v="South"/>
    <x v="353"/>
    <x v="0"/>
    <x v="5"/>
    <x v="351"/>
    <n v="10.368000000000002"/>
    <n v="2"/>
    <n v="0.2"/>
    <n v="16.588800000000003"/>
    <n v="3.6288"/>
  </r>
  <r>
    <n v="706"/>
    <x v="247"/>
    <x v="206"/>
    <d v="2018-09-17T00:00:00"/>
    <x v="1"/>
    <x v="217"/>
    <x v="217"/>
    <x v="0"/>
    <x v="0"/>
    <x v="118"/>
    <x v="2"/>
    <n v="27511"/>
    <s v="South"/>
    <x v="354"/>
    <x v="0"/>
    <x v="4"/>
    <x v="352"/>
    <n v="166.84"/>
    <n v="5"/>
    <n v="0.2"/>
    <n v="667.36"/>
    <n v="18.769499999999987"/>
  </r>
  <r>
    <n v="710"/>
    <x v="248"/>
    <x v="207"/>
    <d v="2018-12-04T00:00:00"/>
    <x v="2"/>
    <x v="218"/>
    <x v="218"/>
    <x v="1"/>
    <x v="0"/>
    <x v="15"/>
    <x v="12"/>
    <n v="10035"/>
    <s v="East"/>
    <x v="209"/>
    <x v="0"/>
    <x v="3"/>
    <x v="208"/>
    <n v="46.72"/>
    <n v="8"/>
    <n v="0.2"/>
    <n v="299.00799999999998"/>
    <n v="15.767999999999997"/>
  </r>
  <r>
    <n v="711"/>
    <x v="249"/>
    <x v="208"/>
    <d v="2018-04-07T00:00:00"/>
    <x v="2"/>
    <x v="219"/>
    <x v="219"/>
    <x v="2"/>
    <x v="0"/>
    <x v="15"/>
    <x v="12"/>
    <n v="10035"/>
    <s v="East"/>
    <x v="253"/>
    <x v="0"/>
    <x v="5"/>
    <x v="252"/>
    <n v="55.48"/>
    <n v="1"/>
    <n v="0"/>
    <n v="55.48"/>
    <n v="26.630399999999998"/>
  </r>
  <r>
    <n v="712"/>
    <x v="250"/>
    <x v="157"/>
    <d v="2021-09-07T00:00:00"/>
    <x v="1"/>
    <x v="220"/>
    <x v="220"/>
    <x v="1"/>
    <x v="0"/>
    <x v="119"/>
    <x v="1"/>
    <n v="32137"/>
    <s v="South"/>
    <x v="355"/>
    <x v="0"/>
    <x v="6"/>
    <x v="353"/>
    <n v="24.448"/>
    <n v="4"/>
    <n v="0.2"/>
    <n v="78.233599999999996"/>
    <n v="8.8623999999999992"/>
  </r>
  <r>
    <n v="713"/>
    <x v="251"/>
    <x v="182"/>
    <d v="2021-05-24T00:00:00"/>
    <x v="1"/>
    <x v="221"/>
    <x v="221"/>
    <x v="0"/>
    <x v="0"/>
    <x v="120"/>
    <x v="12"/>
    <n v="10550"/>
    <s v="East"/>
    <x v="356"/>
    <x v="0"/>
    <x v="4"/>
    <x v="354"/>
    <n v="281.34000000000003"/>
    <n v="6"/>
    <n v="0"/>
    <n v="1688.0400000000002"/>
    <n v="109.72260000000001"/>
  </r>
  <r>
    <n v="716"/>
    <x v="252"/>
    <x v="209"/>
    <d v="2018-07-06T00:00:00"/>
    <x v="0"/>
    <x v="89"/>
    <x v="89"/>
    <x v="0"/>
    <x v="0"/>
    <x v="3"/>
    <x v="3"/>
    <n v="98105"/>
    <s v="West"/>
    <x v="357"/>
    <x v="0"/>
    <x v="3"/>
    <x v="355"/>
    <n v="19.920000000000002"/>
    <n v="5"/>
    <n v="0.2"/>
    <n v="79.680000000000007"/>
    <n v="6.9719999999999995"/>
  </r>
  <r>
    <n v="719"/>
    <x v="253"/>
    <x v="210"/>
    <d v="2018-06-07T00:00:00"/>
    <x v="1"/>
    <x v="222"/>
    <x v="222"/>
    <x v="2"/>
    <x v="0"/>
    <x v="121"/>
    <x v="6"/>
    <n v="84057"/>
    <s v="West"/>
    <x v="266"/>
    <x v="0"/>
    <x v="3"/>
    <x v="265"/>
    <n v="59.808000000000007"/>
    <n v="3"/>
    <n v="0.2"/>
    <n v="143.53920000000002"/>
    <n v="19.4376"/>
  </r>
  <r>
    <n v="721"/>
    <x v="254"/>
    <x v="211"/>
    <d v="2020-02-18T00:00:00"/>
    <x v="1"/>
    <x v="223"/>
    <x v="223"/>
    <x v="2"/>
    <x v="0"/>
    <x v="0"/>
    <x v="0"/>
    <n v="90045"/>
    <s v="West"/>
    <x v="358"/>
    <x v="0"/>
    <x v="5"/>
    <x v="356"/>
    <n v="146.82"/>
    <n v="3"/>
    <n v="0"/>
    <n v="440.46"/>
    <n v="73.41"/>
  </r>
  <r>
    <n v="723"/>
    <x v="255"/>
    <x v="212"/>
    <d v="2020-12-19T00:00:00"/>
    <x v="1"/>
    <x v="135"/>
    <x v="135"/>
    <x v="0"/>
    <x v="0"/>
    <x v="56"/>
    <x v="10"/>
    <n v="48205"/>
    <s v="Central"/>
    <x v="359"/>
    <x v="0"/>
    <x v="1"/>
    <x v="357"/>
    <n v="296.37"/>
    <n v="3"/>
    <n v="0"/>
    <n v="889.11"/>
    <n v="80.019899999999993"/>
  </r>
  <r>
    <n v="725"/>
    <x v="256"/>
    <x v="213"/>
    <d v="2020-07-12T00:00:00"/>
    <x v="1"/>
    <x v="224"/>
    <x v="224"/>
    <x v="0"/>
    <x v="0"/>
    <x v="122"/>
    <x v="1"/>
    <n v="33012"/>
    <s v="South"/>
    <x v="360"/>
    <x v="0"/>
    <x v="8"/>
    <x v="358"/>
    <n v="45.584000000000003"/>
    <n v="7"/>
    <n v="0.2"/>
    <n v="255.27040000000002"/>
    <n v="5.1281999999999996"/>
  </r>
  <r>
    <n v="726"/>
    <x v="257"/>
    <x v="90"/>
    <d v="2021-09-20T00:00:00"/>
    <x v="1"/>
    <x v="225"/>
    <x v="225"/>
    <x v="1"/>
    <x v="0"/>
    <x v="76"/>
    <x v="4"/>
    <n v="78745"/>
    <s v="Central"/>
    <x v="361"/>
    <x v="0"/>
    <x v="6"/>
    <x v="359"/>
    <n v="17.568000000000001"/>
    <n v="2"/>
    <n v="0.2"/>
    <n v="28.108800000000002"/>
    <n v="6.3684000000000003"/>
  </r>
  <r>
    <n v="728"/>
    <x v="258"/>
    <x v="214"/>
    <d v="2020-12-06T00:00:00"/>
    <x v="2"/>
    <x v="226"/>
    <x v="226"/>
    <x v="1"/>
    <x v="0"/>
    <x v="123"/>
    <x v="12"/>
    <n v="11572"/>
    <s v="East"/>
    <x v="362"/>
    <x v="0"/>
    <x v="5"/>
    <x v="360"/>
    <n v="182.72"/>
    <n v="8"/>
    <n v="0"/>
    <n v="1461.76"/>
    <n v="84.051199999999994"/>
  </r>
  <r>
    <n v="730"/>
    <x v="258"/>
    <x v="214"/>
    <d v="2020-12-06T00:00:00"/>
    <x v="2"/>
    <x v="226"/>
    <x v="226"/>
    <x v="1"/>
    <x v="0"/>
    <x v="123"/>
    <x v="12"/>
    <n v="11572"/>
    <s v="East"/>
    <x v="363"/>
    <x v="0"/>
    <x v="1"/>
    <x v="361"/>
    <n v="33.630000000000003"/>
    <n v="3"/>
    <n v="0"/>
    <n v="100.89000000000001"/>
    <n v="10.088999999999999"/>
  </r>
  <r>
    <n v="732"/>
    <x v="258"/>
    <x v="214"/>
    <d v="2020-12-06T00:00:00"/>
    <x v="2"/>
    <x v="226"/>
    <x v="226"/>
    <x v="1"/>
    <x v="0"/>
    <x v="123"/>
    <x v="12"/>
    <n v="11572"/>
    <s v="East"/>
    <x v="239"/>
    <x v="0"/>
    <x v="0"/>
    <x v="239"/>
    <n v="6.3"/>
    <n v="2"/>
    <n v="0"/>
    <n v="12.6"/>
    <n v="3.024"/>
  </r>
  <r>
    <n v="733"/>
    <x v="259"/>
    <x v="215"/>
    <d v="2021-01-25T00:00:00"/>
    <x v="1"/>
    <x v="227"/>
    <x v="227"/>
    <x v="2"/>
    <x v="0"/>
    <x v="3"/>
    <x v="3"/>
    <n v="98115"/>
    <s v="West"/>
    <x v="277"/>
    <x v="0"/>
    <x v="1"/>
    <x v="277"/>
    <n v="242.94"/>
    <n v="3"/>
    <n v="0"/>
    <n v="728.81999999999994"/>
    <n v="9.7175999999999902"/>
  </r>
  <r>
    <n v="735"/>
    <x v="259"/>
    <x v="215"/>
    <d v="2021-01-25T00:00:00"/>
    <x v="1"/>
    <x v="227"/>
    <x v="227"/>
    <x v="2"/>
    <x v="0"/>
    <x v="3"/>
    <x v="3"/>
    <n v="98115"/>
    <s v="West"/>
    <x v="210"/>
    <x v="0"/>
    <x v="3"/>
    <x v="209"/>
    <n v="99.695999999999998"/>
    <n v="6"/>
    <n v="0.2"/>
    <n v="478.54079999999993"/>
    <n v="33.647399999999998"/>
  </r>
  <r>
    <n v="736"/>
    <x v="259"/>
    <x v="215"/>
    <d v="2021-01-25T00:00:00"/>
    <x v="1"/>
    <x v="227"/>
    <x v="227"/>
    <x v="2"/>
    <x v="0"/>
    <x v="3"/>
    <x v="3"/>
    <n v="98115"/>
    <s v="West"/>
    <x v="25"/>
    <x v="0"/>
    <x v="3"/>
    <x v="25"/>
    <n v="27.936000000000003"/>
    <n v="4"/>
    <n v="0.2"/>
    <n v="89.395200000000017"/>
    <n v="9.4283999999999963"/>
  </r>
  <r>
    <n v="738"/>
    <x v="259"/>
    <x v="215"/>
    <d v="2021-01-25T00:00:00"/>
    <x v="1"/>
    <x v="227"/>
    <x v="227"/>
    <x v="2"/>
    <x v="0"/>
    <x v="3"/>
    <x v="3"/>
    <n v="98115"/>
    <s v="West"/>
    <x v="364"/>
    <x v="0"/>
    <x v="3"/>
    <x v="362"/>
    <n v="18.72"/>
    <n v="5"/>
    <n v="0.2"/>
    <n v="74.88"/>
    <n v="6.5519999999999996"/>
  </r>
  <r>
    <n v="740"/>
    <x v="260"/>
    <x v="216"/>
    <d v="2018-01-08T00:00:00"/>
    <x v="1"/>
    <x v="228"/>
    <x v="228"/>
    <x v="2"/>
    <x v="0"/>
    <x v="124"/>
    <x v="17"/>
    <n v="60540"/>
    <s v="Central"/>
    <x v="365"/>
    <x v="0"/>
    <x v="0"/>
    <x v="363"/>
    <n v="11.784000000000001"/>
    <n v="3"/>
    <n v="0.2"/>
    <n v="28.281600000000005"/>
    <n v="4.2716999999999992"/>
  </r>
  <r>
    <n v="741"/>
    <x v="260"/>
    <x v="216"/>
    <d v="2018-01-08T00:00:00"/>
    <x v="1"/>
    <x v="228"/>
    <x v="228"/>
    <x v="2"/>
    <x v="0"/>
    <x v="124"/>
    <x v="17"/>
    <n v="60540"/>
    <s v="Central"/>
    <x v="254"/>
    <x v="0"/>
    <x v="1"/>
    <x v="253"/>
    <n v="272.73599999999999"/>
    <n v="3"/>
    <n v="0.2"/>
    <n v="654.56639999999993"/>
    <n v="-64.774800000000013"/>
  </r>
  <r>
    <n v="742"/>
    <x v="260"/>
    <x v="216"/>
    <d v="2018-01-08T00:00:00"/>
    <x v="1"/>
    <x v="228"/>
    <x v="228"/>
    <x v="2"/>
    <x v="0"/>
    <x v="124"/>
    <x v="17"/>
    <n v="60540"/>
    <s v="Central"/>
    <x v="366"/>
    <x v="0"/>
    <x v="3"/>
    <x v="364"/>
    <n v="3.5399999999999991"/>
    <n v="2"/>
    <n v="0.8"/>
    <n v="1.4159999999999995"/>
    <n v="-5.4870000000000001"/>
  </r>
  <r>
    <n v="743"/>
    <x v="261"/>
    <x v="217"/>
    <d v="2020-09-01T00:00:00"/>
    <x v="1"/>
    <x v="229"/>
    <x v="229"/>
    <x v="1"/>
    <x v="0"/>
    <x v="52"/>
    <x v="4"/>
    <n v="75220"/>
    <s v="Central"/>
    <x v="304"/>
    <x v="0"/>
    <x v="8"/>
    <x v="302"/>
    <n v="51.52000000000001"/>
    <n v="5"/>
    <n v="0.2"/>
    <n v="206.08"/>
    <n v="-10.948000000000002"/>
  </r>
  <r>
    <n v="744"/>
    <x v="261"/>
    <x v="217"/>
    <d v="2020-09-01T00:00:00"/>
    <x v="1"/>
    <x v="229"/>
    <x v="229"/>
    <x v="1"/>
    <x v="0"/>
    <x v="52"/>
    <x v="4"/>
    <n v="75220"/>
    <s v="Central"/>
    <x v="149"/>
    <x v="0"/>
    <x v="5"/>
    <x v="149"/>
    <n v="3.5280000000000005"/>
    <n v="1"/>
    <n v="0.2"/>
    <n v="2.8224000000000005"/>
    <n v="1.1465999999999998"/>
  </r>
  <r>
    <n v="745"/>
    <x v="261"/>
    <x v="217"/>
    <d v="2020-09-01T00:00:00"/>
    <x v="1"/>
    <x v="229"/>
    <x v="229"/>
    <x v="1"/>
    <x v="0"/>
    <x v="52"/>
    <x v="4"/>
    <n v="75220"/>
    <s v="Central"/>
    <x v="367"/>
    <x v="0"/>
    <x v="5"/>
    <x v="365"/>
    <n v="4.6240000000000006"/>
    <n v="1"/>
    <n v="0.2"/>
    <n v="3.6992000000000003"/>
    <n v="1.6762000000000001"/>
  </r>
  <r>
    <n v="746"/>
    <x v="261"/>
    <x v="217"/>
    <d v="2020-09-01T00:00:00"/>
    <x v="1"/>
    <x v="229"/>
    <x v="229"/>
    <x v="1"/>
    <x v="0"/>
    <x v="52"/>
    <x v="4"/>
    <n v="75220"/>
    <s v="Central"/>
    <x v="368"/>
    <x v="0"/>
    <x v="8"/>
    <x v="366"/>
    <n v="55.167999999999999"/>
    <n v="4"/>
    <n v="0.2"/>
    <n v="176.5376"/>
    <n v="6.2063999999999897"/>
  </r>
  <r>
    <n v="748"/>
    <x v="262"/>
    <x v="218"/>
    <d v="2018-05-27T00:00:00"/>
    <x v="3"/>
    <x v="146"/>
    <x v="146"/>
    <x v="0"/>
    <x v="0"/>
    <x v="60"/>
    <x v="0"/>
    <n v="92105"/>
    <s v="West"/>
    <x v="261"/>
    <x v="0"/>
    <x v="1"/>
    <x v="260"/>
    <n v="359.32"/>
    <n v="4"/>
    <n v="0"/>
    <n v="1437.28"/>
    <n v="7.1863999999999919"/>
  </r>
  <r>
    <n v="750"/>
    <x v="263"/>
    <x v="219"/>
    <d v="2021-10-06T00:00:00"/>
    <x v="1"/>
    <x v="230"/>
    <x v="230"/>
    <x v="1"/>
    <x v="0"/>
    <x v="125"/>
    <x v="10"/>
    <n v="48183"/>
    <s v="Central"/>
    <x v="369"/>
    <x v="0"/>
    <x v="3"/>
    <x v="367"/>
    <n v="58.050000000000004"/>
    <n v="3"/>
    <n v="0"/>
    <n v="174.15"/>
    <n v="26.702999999999999"/>
  </r>
  <r>
    <n v="752"/>
    <x v="263"/>
    <x v="219"/>
    <d v="2021-10-06T00:00:00"/>
    <x v="1"/>
    <x v="230"/>
    <x v="230"/>
    <x v="1"/>
    <x v="0"/>
    <x v="125"/>
    <x v="10"/>
    <n v="48183"/>
    <s v="Central"/>
    <x v="218"/>
    <x v="0"/>
    <x v="2"/>
    <x v="217"/>
    <n v="56.980000000000004"/>
    <n v="7"/>
    <n v="0"/>
    <n v="398.86"/>
    <n v="22.792000000000002"/>
  </r>
  <r>
    <n v="753"/>
    <x v="263"/>
    <x v="219"/>
    <d v="2021-10-06T00:00:00"/>
    <x v="1"/>
    <x v="230"/>
    <x v="230"/>
    <x v="1"/>
    <x v="0"/>
    <x v="125"/>
    <x v="10"/>
    <n v="48183"/>
    <s v="Central"/>
    <x v="370"/>
    <x v="0"/>
    <x v="3"/>
    <x v="368"/>
    <n v="2.88"/>
    <n v="1"/>
    <n v="0"/>
    <n v="2.88"/>
    <n v="1.4112"/>
  </r>
  <r>
    <n v="757"/>
    <x v="264"/>
    <x v="220"/>
    <d v="2019-01-02T00:00:00"/>
    <x v="1"/>
    <x v="231"/>
    <x v="231"/>
    <x v="1"/>
    <x v="0"/>
    <x v="126"/>
    <x v="9"/>
    <n v="55016"/>
    <s v="Central"/>
    <x v="347"/>
    <x v="0"/>
    <x v="1"/>
    <x v="345"/>
    <n v="24.56"/>
    <n v="2"/>
    <n v="0"/>
    <n v="49.12"/>
    <n v="6.8767999999999994"/>
  </r>
  <r>
    <n v="759"/>
    <x v="265"/>
    <x v="221"/>
    <d v="2021-07-28T00:00:00"/>
    <x v="1"/>
    <x v="232"/>
    <x v="232"/>
    <x v="0"/>
    <x v="0"/>
    <x v="15"/>
    <x v="12"/>
    <n v="10009"/>
    <s v="East"/>
    <x v="314"/>
    <x v="0"/>
    <x v="3"/>
    <x v="312"/>
    <n v="13.128"/>
    <n v="3"/>
    <n v="0.2"/>
    <n v="31.507200000000001"/>
    <n v="4.2665999999999986"/>
  </r>
  <r>
    <n v="760"/>
    <x v="266"/>
    <x v="48"/>
    <d v="2021-09-22T00:00:00"/>
    <x v="1"/>
    <x v="233"/>
    <x v="233"/>
    <x v="0"/>
    <x v="0"/>
    <x v="127"/>
    <x v="5"/>
    <n v="54302"/>
    <s v="Central"/>
    <x v="75"/>
    <x v="0"/>
    <x v="5"/>
    <x v="336"/>
    <n v="22.72"/>
    <n v="4"/>
    <n v="0"/>
    <n v="90.88"/>
    <n v="10.223999999999998"/>
  </r>
  <r>
    <n v="761"/>
    <x v="267"/>
    <x v="222"/>
    <d v="2019-09-05T00:00:00"/>
    <x v="1"/>
    <x v="189"/>
    <x v="189"/>
    <x v="1"/>
    <x v="0"/>
    <x v="0"/>
    <x v="0"/>
    <n v="90004"/>
    <s v="West"/>
    <x v="294"/>
    <x v="0"/>
    <x v="5"/>
    <x v="292"/>
    <n v="58.320000000000007"/>
    <n v="9"/>
    <n v="0"/>
    <n v="524.88000000000011"/>
    <n v="27.993600000000001"/>
  </r>
  <r>
    <n v="762"/>
    <x v="268"/>
    <x v="130"/>
    <d v="2021-11-07T00:00:00"/>
    <x v="1"/>
    <x v="29"/>
    <x v="29"/>
    <x v="0"/>
    <x v="0"/>
    <x v="98"/>
    <x v="29"/>
    <n v="30318"/>
    <s v="South"/>
    <x v="371"/>
    <x v="0"/>
    <x v="0"/>
    <x v="369"/>
    <n v="12.39"/>
    <n v="3"/>
    <n v="0"/>
    <n v="37.17"/>
    <n v="5.6993999999999998"/>
  </r>
  <r>
    <n v="764"/>
    <x v="269"/>
    <x v="223"/>
    <d v="2018-01-15T00:00:00"/>
    <x v="0"/>
    <x v="234"/>
    <x v="234"/>
    <x v="0"/>
    <x v="0"/>
    <x v="128"/>
    <x v="36"/>
    <n v="71111"/>
    <s v="South"/>
    <x v="95"/>
    <x v="0"/>
    <x v="6"/>
    <x v="95"/>
    <n v="11.36"/>
    <n v="2"/>
    <n v="0"/>
    <n v="22.72"/>
    <n v="5.3391999999999991"/>
  </r>
  <r>
    <n v="765"/>
    <x v="269"/>
    <x v="223"/>
    <d v="2018-01-15T00:00:00"/>
    <x v="0"/>
    <x v="234"/>
    <x v="234"/>
    <x v="0"/>
    <x v="0"/>
    <x v="128"/>
    <x v="36"/>
    <n v="71111"/>
    <s v="South"/>
    <x v="372"/>
    <x v="0"/>
    <x v="6"/>
    <x v="370"/>
    <n v="50.94"/>
    <n v="3"/>
    <n v="0"/>
    <n v="152.82"/>
    <n v="25.47"/>
  </r>
  <r>
    <n v="767"/>
    <x v="269"/>
    <x v="223"/>
    <d v="2018-01-15T00:00:00"/>
    <x v="0"/>
    <x v="234"/>
    <x v="234"/>
    <x v="0"/>
    <x v="0"/>
    <x v="128"/>
    <x v="36"/>
    <n v="71111"/>
    <s v="South"/>
    <x v="373"/>
    <x v="0"/>
    <x v="3"/>
    <x v="371"/>
    <n v="5.64"/>
    <n v="3"/>
    <n v="0"/>
    <n v="16.919999999999998"/>
    <n v="2.7071999999999994"/>
  </r>
  <r>
    <n v="768"/>
    <x v="269"/>
    <x v="223"/>
    <d v="2018-01-15T00:00:00"/>
    <x v="0"/>
    <x v="234"/>
    <x v="234"/>
    <x v="0"/>
    <x v="0"/>
    <x v="128"/>
    <x v="36"/>
    <n v="71111"/>
    <s v="South"/>
    <x v="374"/>
    <x v="0"/>
    <x v="1"/>
    <x v="372"/>
    <n v="572.58000000000004"/>
    <n v="6"/>
    <n v="0"/>
    <n v="3435.4800000000005"/>
    <n v="34.354799999999955"/>
  </r>
  <r>
    <n v="771"/>
    <x v="270"/>
    <x v="224"/>
    <d v="2021-02-05T00:00:00"/>
    <x v="1"/>
    <x v="235"/>
    <x v="235"/>
    <x v="0"/>
    <x v="0"/>
    <x v="129"/>
    <x v="20"/>
    <n v="50315"/>
    <s v="Central"/>
    <x v="375"/>
    <x v="0"/>
    <x v="3"/>
    <x v="373"/>
    <n v="18.28"/>
    <n v="2"/>
    <n v="0"/>
    <n v="36.56"/>
    <n v="9.14"/>
  </r>
  <r>
    <n v="773"/>
    <x v="270"/>
    <x v="224"/>
    <d v="2021-02-05T00:00:00"/>
    <x v="1"/>
    <x v="235"/>
    <x v="235"/>
    <x v="0"/>
    <x v="0"/>
    <x v="129"/>
    <x v="20"/>
    <n v="50315"/>
    <s v="Central"/>
    <x v="376"/>
    <x v="0"/>
    <x v="3"/>
    <x v="374"/>
    <n v="32.35"/>
    <n v="5"/>
    <n v="0"/>
    <n v="161.75"/>
    <n v="16.175000000000001"/>
  </r>
  <r>
    <n v="774"/>
    <x v="270"/>
    <x v="224"/>
    <d v="2021-02-05T00:00:00"/>
    <x v="1"/>
    <x v="235"/>
    <x v="235"/>
    <x v="0"/>
    <x v="0"/>
    <x v="129"/>
    <x v="20"/>
    <n v="50315"/>
    <s v="Central"/>
    <x v="3"/>
    <x v="0"/>
    <x v="3"/>
    <x v="3"/>
    <n v="7.71"/>
    <n v="1"/>
    <n v="0"/>
    <n v="7.71"/>
    <n v="3.4695"/>
  </r>
  <r>
    <n v="775"/>
    <x v="270"/>
    <x v="224"/>
    <d v="2021-02-05T00:00:00"/>
    <x v="1"/>
    <x v="235"/>
    <x v="235"/>
    <x v="0"/>
    <x v="0"/>
    <x v="129"/>
    <x v="20"/>
    <n v="50315"/>
    <s v="Central"/>
    <x v="377"/>
    <x v="0"/>
    <x v="2"/>
    <x v="375"/>
    <n v="40.299999999999997"/>
    <n v="2"/>
    <n v="0"/>
    <n v="80.599999999999994"/>
    <n v="10.881"/>
  </r>
  <r>
    <n v="777"/>
    <x v="271"/>
    <x v="225"/>
    <d v="2018-07-06T00:00:00"/>
    <x v="1"/>
    <x v="236"/>
    <x v="236"/>
    <x v="1"/>
    <x v="0"/>
    <x v="63"/>
    <x v="21"/>
    <n v="45231"/>
    <s v="East"/>
    <x v="378"/>
    <x v="0"/>
    <x v="2"/>
    <x v="376"/>
    <n v="32.76"/>
    <n v="7"/>
    <n v="0.2"/>
    <n v="183.45599999999999"/>
    <n v="3.6854999999999958"/>
  </r>
  <r>
    <n v="779"/>
    <x v="272"/>
    <x v="226"/>
    <d v="2019-08-23T00:00:00"/>
    <x v="2"/>
    <x v="96"/>
    <x v="96"/>
    <x v="2"/>
    <x v="0"/>
    <x v="7"/>
    <x v="0"/>
    <n v="94110"/>
    <s v="West"/>
    <x v="223"/>
    <x v="0"/>
    <x v="5"/>
    <x v="223"/>
    <n v="59.94"/>
    <n v="3"/>
    <n v="0"/>
    <n v="179.82"/>
    <n v="28.171799999999998"/>
  </r>
  <r>
    <n v="780"/>
    <x v="272"/>
    <x v="226"/>
    <d v="2019-08-23T00:00:00"/>
    <x v="2"/>
    <x v="96"/>
    <x v="96"/>
    <x v="2"/>
    <x v="0"/>
    <x v="7"/>
    <x v="0"/>
    <n v="94110"/>
    <s v="West"/>
    <x v="217"/>
    <x v="0"/>
    <x v="5"/>
    <x v="216"/>
    <n v="23.92"/>
    <n v="4"/>
    <n v="0"/>
    <n v="95.68"/>
    <n v="11.720800000000001"/>
  </r>
  <r>
    <n v="781"/>
    <x v="272"/>
    <x v="226"/>
    <d v="2019-08-23T00:00:00"/>
    <x v="2"/>
    <x v="96"/>
    <x v="96"/>
    <x v="2"/>
    <x v="0"/>
    <x v="7"/>
    <x v="0"/>
    <n v="94110"/>
    <s v="West"/>
    <x v="379"/>
    <x v="0"/>
    <x v="5"/>
    <x v="377"/>
    <n v="4.28"/>
    <n v="1"/>
    <n v="0"/>
    <n v="4.28"/>
    <n v="1.9259999999999997"/>
  </r>
  <r>
    <n v="782"/>
    <x v="273"/>
    <x v="227"/>
    <d v="2019-10-06T00:00:00"/>
    <x v="0"/>
    <x v="237"/>
    <x v="237"/>
    <x v="1"/>
    <x v="0"/>
    <x v="31"/>
    <x v="21"/>
    <n v="43229"/>
    <s v="East"/>
    <x v="248"/>
    <x v="0"/>
    <x v="3"/>
    <x v="247"/>
    <n v="32.07"/>
    <n v="5"/>
    <n v="0.7"/>
    <n v="48.105000000000004"/>
    <n v="-22.448999999999991"/>
  </r>
  <r>
    <n v="786"/>
    <x v="274"/>
    <x v="228"/>
    <d v="2019-05-28T00:00:00"/>
    <x v="1"/>
    <x v="81"/>
    <x v="81"/>
    <x v="0"/>
    <x v="0"/>
    <x v="130"/>
    <x v="37"/>
    <n v="29203"/>
    <s v="South"/>
    <x v="380"/>
    <x v="0"/>
    <x v="6"/>
    <x v="378"/>
    <n v="186.69"/>
    <n v="3"/>
    <n v="0"/>
    <n v="560.06999999999994"/>
    <n v="87.744299999999981"/>
  </r>
  <r>
    <n v="787"/>
    <x v="275"/>
    <x v="229"/>
    <d v="2021-03-21T00:00:00"/>
    <x v="0"/>
    <x v="42"/>
    <x v="42"/>
    <x v="1"/>
    <x v="0"/>
    <x v="131"/>
    <x v="0"/>
    <n v="93534"/>
    <s v="West"/>
    <x v="381"/>
    <x v="0"/>
    <x v="3"/>
    <x v="379"/>
    <n v="17.456"/>
    <n v="2"/>
    <n v="0.2"/>
    <n v="27.929600000000001"/>
    <n v="5.8914"/>
  </r>
  <r>
    <n v="789"/>
    <x v="276"/>
    <x v="230"/>
    <d v="2019-06-30T00:00:00"/>
    <x v="1"/>
    <x v="238"/>
    <x v="238"/>
    <x v="1"/>
    <x v="0"/>
    <x v="87"/>
    <x v="14"/>
    <n v="23223"/>
    <s v="South"/>
    <x v="229"/>
    <x v="0"/>
    <x v="3"/>
    <x v="229"/>
    <n v="143.96"/>
    <n v="4"/>
    <n v="0"/>
    <n v="575.84"/>
    <n v="69.100800000000007"/>
  </r>
  <r>
    <n v="790"/>
    <x v="276"/>
    <x v="230"/>
    <d v="2019-06-30T00:00:00"/>
    <x v="1"/>
    <x v="238"/>
    <x v="238"/>
    <x v="1"/>
    <x v="0"/>
    <x v="87"/>
    <x v="14"/>
    <n v="23223"/>
    <s v="South"/>
    <x v="255"/>
    <x v="0"/>
    <x v="1"/>
    <x v="254"/>
    <n v="15.42"/>
    <n v="1"/>
    <n v="0"/>
    <n v="15.42"/>
    <n v="4.1634000000000011"/>
  </r>
  <r>
    <n v="791"/>
    <x v="276"/>
    <x v="230"/>
    <d v="2019-06-30T00:00:00"/>
    <x v="1"/>
    <x v="238"/>
    <x v="238"/>
    <x v="1"/>
    <x v="0"/>
    <x v="87"/>
    <x v="14"/>
    <n v="23223"/>
    <s v="South"/>
    <x v="382"/>
    <x v="0"/>
    <x v="3"/>
    <x v="380"/>
    <n v="43.04"/>
    <n v="8"/>
    <n v="0"/>
    <n v="344.32"/>
    <n v="21.089600000000001"/>
  </r>
  <r>
    <n v="794"/>
    <x v="277"/>
    <x v="231"/>
    <d v="2018-09-26T00:00:00"/>
    <x v="1"/>
    <x v="239"/>
    <x v="239"/>
    <x v="1"/>
    <x v="0"/>
    <x v="7"/>
    <x v="0"/>
    <n v="94110"/>
    <s v="West"/>
    <x v="383"/>
    <x v="0"/>
    <x v="0"/>
    <x v="381"/>
    <n v="9.9600000000000009"/>
    <n v="2"/>
    <n v="0"/>
    <n v="19.920000000000002"/>
    <n v="4.5815999999999999"/>
  </r>
  <r>
    <n v="795"/>
    <x v="277"/>
    <x v="231"/>
    <d v="2018-09-26T00:00:00"/>
    <x v="1"/>
    <x v="239"/>
    <x v="239"/>
    <x v="1"/>
    <x v="0"/>
    <x v="7"/>
    <x v="0"/>
    <n v="94110"/>
    <s v="West"/>
    <x v="220"/>
    <x v="0"/>
    <x v="5"/>
    <x v="219"/>
    <n v="21.72"/>
    <n v="4"/>
    <n v="0"/>
    <n v="86.88"/>
    <n v="10.642799999999999"/>
  </r>
  <r>
    <n v="796"/>
    <x v="278"/>
    <x v="232"/>
    <d v="2021-09-26T00:00:00"/>
    <x v="1"/>
    <x v="240"/>
    <x v="240"/>
    <x v="1"/>
    <x v="0"/>
    <x v="24"/>
    <x v="9"/>
    <n v="55901"/>
    <s v="Central"/>
    <x v="370"/>
    <x v="0"/>
    <x v="3"/>
    <x v="368"/>
    <n v="20.16"/>
    <n v="7"/>
    <n v="0"/>
    <n v="141.12"/>
    <n v="9.8783999999999992"/>
  </r>
  <r>
    <n v="797"/>
    <x v="279"/>
    <x v="76"/>
    <d v="2019-12-26T00:00:00"/>
    <x v="2"/>
    <x v="82"/>
    <x v="82"/>
    <x v="0"/>
    <x v="0"/>
    <x v="24"/>
    <x v="12"/>
    <n v="14609"/>
    <s v="East"/>
    <x v="384"/>
    <x v="0"/>
    <x v="5"/>
    <x v="382"/>
    <n v="132.79"/>
    <n v="7"/>
    <n v="0"/>
    <n v="929.53"/>
    <n v="63.739199999999997"/>
  </r>
  <r>
    <n v="798"/>
    <x v="279"/>
    <x v="76"/>
    <d v="2019-12-26T00:00:00"/>
    <x v="2"/>
    <x v="82"/>
    <x v="82"/>
    <x v="0"/>
    <x v="0"/>
    <x v="24"/>
    <x v="12"/>
    <n v="14609"/>
    <s v="East"/>
    <x v="5"/>
    <x v="0"/>
    <x v="5"/>
    <x v="5"/>
    <n v="12.96"/>
    <n v="2"/>
    <n v="0"/>
    <n v="25.92"/>
    <n v="6.2208000000000006"/>
  </r>
  <r>
    <n v="799"/>
    <x v="279"/>
    <x v="76"/>
    <d v="2019-12-26T00:00:00"/>
    <x v="2"/>
    <x v="82"/>
    <x v="82"/>
    <x v="0"/>
    <x v="0"/>
    <x v="24"/>
    <x v="12"/>
    <n v="14609"/>
    <s v="East"/>
    <x v="385"/>
    <x v="0"/>
    <x v="0"/>
    <x v="383"/>
    <n v="21.560000000000002"/>
    <n v="7"/>
    <n v="0"/>
    <n v="150.92000000000002"/>
    <n v="10.348799999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289D5E-EA91-450A-A8AC-29D8ABCE7178}" name="PivotTable10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R46:W51" firstHeaderRow="1" firstDataRow="2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>
      <items count="10">
        <item x="4"/>
        <item x="2"/>
        <item x="3"/>
        <item x="6"/>
        <item x="7"/>
        <item x="0"/>
        <item x="5"/>
        <item x="1"/>
        <item x="8"/>
        <item t="default"/>
      </items>
    </pivotField>
    <pivotField showAll="0">
      <items count="385">
        <item x="353"/>
        <item x="189"/>
        <item x="22"/>
        <item x="44"/>
        <item x="211"/>
        <item x="246"/>
        <item x="371"/>
        <item x="112"/>
        <item x="243"/>
        <item x="141"/>
        <item x="105"/>
        <item x="247"/>
        <item x="187"/>
        <item x="19"/>
        <item x="321"/>
        <item x="35"/>
        <item x="380"/>
        <item x="14"/>
        <item x="362"/>
        <item x="213"/>
        <item x="106"/>
        <item x="358"/>
        <item x="309"/>
        <item x="335"/>
        <item x="301"/>
        <item x="191"/>
        <item x="101"/>
        <item x="336"/>
        <item x="134"/>
        <item x="152"/>
        <item x="147"/>
        <item x="24"/>
        <item x="29"/>
        <item x="122"/>
        <item x="274"/>
        <item x="159"/>
        <item x="288"/>
        <item x="333"/>
        <item x="203"/>
        <item x="295"/>
        <item x="259"/>
        <item x="226"/>
        <item x="149"/>
        <item x="208"/>
        <item x="312"/>
        <item x="32"/>
        <item x="348"/>
        <item x="291"/>
        <item x="369"/>
        <item x="327"/>
        <item x="28"/>
        <item x="154"/>
        <item x="347"/>
        <item x="313"/>
        <item x="381"/>
        <item x="124"/>
        <item x="363"/>
        <item x="171"/>
        <item x="104"/>
        <item x="50"/>
        <item x="160"/>
        <item x="344"/>
        <item x="93"/>
        <item x="239"/>
        <item x="193"/>
        <item x="39"/>
        <item x="368"/>
        <item x="65"/>
        <item x="332"/>
        <item x="73"/>
        <item x="342"/>
        <item x="45"/>
        <item x="60"/>
        <item x="217"/>
        <item x="181"/>
        <item x="59"/>
        <item x="109"/>
        <item x="166"/>
        <item x="286"/>
        <item x="16"/>
        <item x="62"/>
        <item x="144"/>
        <item x="139"/>
        <item x="88"/>
        <item x="192"/>
        <item x="4"/>
        <item x="330"/>
        <item x="320"/>
        <item x="97"/>
        <item x="185"/>
        <item x="113"/>
        <item x="349"/>
        <item x="114"/>
        <item x="354"/>
        <item x="242"/>
        <item x="375"/>
        <item x="169"/>
        <item x="18"/>
        <item x="173"/>
        <item x="119"/>
        <item x="370"/>
        <item x="224"/>
        <item x="378"/>
        <item x="373"/>
        <item x="355"/>
        <item x="251"/>
        <item x="284"/>
        <item x="317"/>
        <item x="277"/>
        <item x="263"/>
        <item x="27"/>
        <item x="261"/>
        <item x="71"/>
        <item x="215"/>
        <item x="84"/>
        <item x="228"/>
        <item x="207"/>
        <item x="115"/>
        <item x="254"/>
        <item x="245"/>
        <item x="230"/>
        <item x="376"/>
        <item x="190"/>
        <item x="304"/>
        <item x="3"/>
        <item x="21"/>
        <item x="252"/>
        <item x="42"/>
        <item x="326"/>
        <item x="23"/>
        <item x="1"/>
        <item x="279"/>
        <item x="237"/>
        <item x="51"/>
        <item x="153"/>
        <item x="142"/>
        <item x="120"/>
        <item x="285"/>
        <item x="329"/>
        <item x="170"/>
        <item x="352"/>
        <item x="241"/>
        <item x="236"/>
        <item x="58"/>
        <item x="343"/>
        <item x="260"/>
        <item x="6"/>
        <item x="271"/>
        <item x="137"/>
        <item x="250"/>
        <item x="372"/>
        <item x="258"/>
        <item x="10"/>
        <item x="308"/>
        <item x="199"/>
        <item x="175"/>
        <item x="366"/>
        <item x="82"/>
        <item x="56"/>
        <item x="168"/>
        <item x="70"/>
        <item x="188"/>
        <item x="367"/>
        <item x="130"/>
        <item x="374"/>
        <item x="350"/>
        <item x="177"/>
        <item x="293"/>
        <item x="87"/>
        <item x="231"/>
        <item x="364"/>
        <item x="265"/>
        <item x="204"/>
        <item x="157"/>
        <item x="229"/>
        <item x="297"/>
        <item x="81"/>
        <item x="72"/>
        <item x="123"/>
        <item x="26"/>
        <item x="275"/>
        <item x="379"/>
        <item x="202"/>
        <item x="7"/>
        <item x="30"/>
        <item x="135"/>
        <item x="318"/>
        <item x="340"/>
        <item x="310"/>
        <item x="37"/>
        <item x="64"/>
        <item x="341"/>
        <item x="161"/>
        <item x="178"/>
        <item x="55"/>
        <item x="80"/>
        <item x="234"/>
        <item x="48"/>
        <item x="338"/>
        <item x="103"/>
        <item x="100"/>
        <item x="233"/>
        <item x="20"/>
        <item x="359"/>
        <item x="280"/>
        <item x="302"/>
        <item x="319"/>
        <item x="92"/>
        <item x="307"/>
        <item x="184"/>
        <item x="273"/>
        <item x="13"/>
        <item x="2"/>
        <item x="200"/>
        <item x="272"/>
        <item x="150"/>
        <item x="337"/>
        <item x="299"/>
        <item x="194"/>
        <item x="11"/>
        <item x="244"/>
        <item x="83"/>
        <item x="269"/>
        <item x="240"/>
        <item x="167"/>
        <item x="63"/>
        <item x="174"/>
        <item x="183"/>
        <item x="125"/>
        <item x="66"/>
        <item x="296"/>
        <item x="270"/>
        <item x="110"/>
        <item x="361"/>
        <item x="197"/>
        <item x="33"/>
        <item x="248"/>
        <item x="17"/>
        <item x="151"/>
        <item x="257"/>
        <item x="34"/>
        <item x="158"/>
        <item x="249"/>
        <item x="283"/>
        <item x="323"/>
        <item x="46"/>
        <item x="116"/>
        <item x="148"/>
        <item x="315"/>
        <item x="143"/>
        <item x="357"/>
        <item x="255"/>
        <item x="316"/>
        <item x="345"/>
        <item x="146"/>
        <item x="303"/>
        <item x="300"/>
        <item x="67"/>
        <item x="129"/>
        <item x="268"/>
        <item x="155"/>
        <item x="176"/>
        <item x="253"/>
        <item x="145"/>
        <item x="140"/>
        <item x="49"/>
        <item x="41"/>
        <item x="133"/>
        <item x="79"/>
        <item x="107"/>
        <item x="99"/>
        <item x="128"/>
        <item x="294"/>
        <item x="86"/>
        <item x="0"/>
        <item x="221"/>
        <item x="43"/>
        <item x="383"/>
        <item x="38"/>
        <item x="47"/>
        <item x="339"/>
        <item x="89"/>
        <item x="118"/>
        <item x="205"/>
        <item x="334"/>
        <item x="98"/>
        <item x="206"/>
        <item x="127"/>
        <item x="95"/>
        <item x="218"/>
        <item x="196"/>
        <item x="76"/>
        <item x="282"/>
        <item x="180"/>
        <item x="8"/>
        <item x="266"/>
        <item x="262"/>
        <item x="9"/>
        <item x="214"/>
        <item x="40"/>
        <item x="108"/>
        <item x="91"/>
        <item x="289"/>
        <item x="121"/>
        <item x="322"/>
        <item x="276"/>
        <item x="164"/>
        <item x="356"/>
        <item x="74"/>
        <item x="57"/>
        <item x="331"/>
        <item x="324"/>
        <item x="182"/>
        <item x="210"/>
        <item x="52"/>
        <item x="69"/>
        <item x="138"/>
        <item x="61"/>
        <item x="162"/>
        <item x="264"/>
        <item x="126"/>
        <item x="281"/>
        <item x="267"/>
        <item x="227"/>
        <item x="195"/>
        <item x="15"/>
        <item x="209"/>
        <item x="179"/>
        <item x="12"/>
        <item x="96"/>
        <item x="25"/>
        <item x="325"/>
        <item x="219"/>
        <item x="117"/>
        <item x="136"/>
        <item x="220"/>
        <item x="232"/>
        <item x="78"/>
        <item x="186"/>
        <item x="90"/>
        <item x="382"/>
        <item x="311"/>
        <item x="306"/>
        <item x="235"/>
        <item x="287"/>
        <item x="222"/>
        <item x="223"/>
        <item x="85"/>
        <item x="256"/>
        <item x="102"/>
        <item x="75"/>
        <item x="94"/>
        <item x="68"/>
        <item x="377"/>
        <item x="198"/>
        <item x="165"/>
        <item x="36"/>
        <item x="77"/>
        <item x="132"/>
        <item x="212"/>
        <item x="365"/>
        <item x="201"/>
        <item x="360"/>
        <item x="5"/>
        <item x="314"/>
        <item x="216"/>
        <item x="346"/>
        <item x="225"/>
        <item x="328"/>
        <item x="53"/>
        <item x="54"/>
        <item x="111"/>
        <item x="172"/>
        <item x="156"/>
        <item x="351"/>
        <item x="298"/>
        <item x="163"/>
        <item x="305"/>
        <item x="292"/>
        <item x="31"/>
        <item x="131"/>
        <item x="238"/>
        <item x="278"/>
        <item x="290"/>
        <item t="default"/>
      </items>
    </pivotField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axis="axisCol" showAll="0" defaultSubtotal="0">
      <items count="6">
        <item x="0"/>
        <item x="1"/>
        <item x="2"/>
        <item x="3"/>
        <item x="4"/>
        <item x="5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24"/>
  </colFields>
  <colItems count="5">
    <i>
      <x v="1"/>
    </i>
    <i>
      <x v="2"/>
    </i>
    <i>
      <x v="3"/>
    </i>
    <i>
      <x v="4"/>
    </i>
    <i t="grand">
      <x/>
    </i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546DC5-F9F7-46A2-95C4-659233FECD91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6:B278" firstHeaderRow="1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axis="axisRow" showAll="0">
      <items count="242">
        <item x="163"/>
        <item x="3"/>
        <item x="112"/>
        <item x="215"/>
        <item x="110"/>
        <item x="158"/>
        <item x="7"/>
        <item x="94"/>
        <item x="102"/>
        <item x="129"/>
        <item x="120"/>
        <item x="95"/>
        <item x="170"/>
        <item x="152"/>
        <item x="67"/>
        <item x="220"/>
        <item x="202"/>
        <item x="189"/>
        <item x="167"/>
        <item x="188"/>
        <item x="123"/>
        <item x="196"/>
        <item x="93"/>
        <item x="141"/>
        <item x="160"/>
        <item x="182"/>
        <item x="233"/>
        <item x="2"/>
        <item x="60"/>
        <item x="237"/>
        <item x="217"/>
        <item x="157"/>
        <item x="126"/>
        <item x="101"/>
        <item x="22"/>
        <item x="74"/>
        <item x="235"/>
        <item x="194"/>
        <item x="91"/>
        <item x="173"/>
        <item x="70"/>
        <item x="90"/>
        <item x="180"/>
        <item x="200"/>
        <item x="88"/>
        <item x="210"/>
        <item x="134"/>
        <item x="187"/>
        <item x="222"/>
        <item x="192"/>
        <item x="42"/>
        <item x="156"/>
        <item x="232"/>
        <item x="99"/>
        <item x="203"/>
        <item x="179"/>
        <item x="61"/>
        <item x="234"/>
        <item x="30"/>
        <item x="151"/>
        <item x="138"/>
        <item x="82"/>
        <item x="159"/>
        <item x="109"/>
        <item x="231"/>
        <item x="211"/>
        <item x="165"/>
        <item x="65"/>
        <item x="168"/>
        <item x="236"/>
        <item x="86"/>
        <item x="89"/>
        <item x="28"/>
        <item x="18"/>
        <item x="218"/>
        <item x="87"/>
        <item x="227"/>
        <item x="80"/>
        <item x="0"/>
        <item x="181"/>
        <item x="84"/>
        <item x="47"/>
        <item x="81"/>
        <item x="143"/>
        <item x="175"/>
        <item x="226"/>
        <item x="10"/>
        <item x="204"/>
        <item x="149"/>
        <item x="164"/>
        <item x="37"/>
        <item x="239"/>
        <item x="15"/>
        <item x="105"/>
        <item x="72"/>
        <item x="197"/>
        <item x="191"/>
        <item x="44"/>
        <item x="106"/>
        <item x="32"/>
        <item x="212"/>
        <item x="169"/>
        <item x="119"/>
        <item x="39"/>
        <item x="51"/>
        <item x="114"/>
        <item x="24"/>
        <item x="5"/>
        <item x="4"/>
        <item x="62"/>
        <item x="79"/>
        <item x="29"/>
        <item x="98"/>
        <item x="117"/>
        <item x="25"/>
        <item x="52"/>
        <item x="225"/>
        <item x="176"/>
        <item x="174"/>
        <item x="148"/>
        <item x="78"/>
        <item x="76"/>
        <item x="64"/>
        <item x="113"/>
        <item x="199"/>
        <item x="108"/>
        <item x="41"/>
        <item x="19"/>
        <item x="216"/>
        <item x="147"/>
        <item x="33"/>
        <item x="34"/>
        <item x="9"/>
        <item x="26"/>
        <item x="85"/>
        <item x="133"/>
        <item x="23"/>
        <item x="36"/>
        <item x="132"/>
        <item x="136"/>
        <item x="92"/>
        <item x="97"/>
        <item x="83"/>
        <item x="21"/>
        <item x="116"/>
        <item x="40"/>
        <item x="48"/>
        <item x="75"/>
        <item x="130"/>
        <item x="166"/>
        <item x="172"/>
        <item x="185"/>
        <item x="12"/>
        <item x="73"/>
        <item x="213"/>
        <item x="153"/>
        <item x="198"/>
        <item x="161"/>
        <item x="146"/>
        <item x="59"/>
        <item x="118"/>
        <item x="139"/>
        <item x="121"/>
        <item x="208"/>
        <item x="68"/>
        <item x="135"/>
        <item x="184"/>
        <item x="150"/>
        <item x="125"/>
        <item x="155"/>
        <item x="69"/>
        <item x="190"/>
        <item x="144"/>
        <item x="193"/>
        <item x="124"/>
        <item x="55"/>
        <item x="104"/>
        <item x="214"/>
        <item x="56"/>
        <item x="96"/>
        <item x="16"/>
        <item x="171"/>
        <item x="31"/>
        <item x="6"/>
        <item x="107"/>
        <item x="17"/>
        <item x="140"/>
        <item x="228"/>
        <item x="14"/>
        <item x="122"/>
        <item x="142"/>
        <item x="38"/>
        <item x="209"/>
        <item x="35"/>
        <item x="137"/>
        <item x="206"/>
        <item x="43"/>
        <item x="223"/>
        <item x="58"/>
        <item x="230"/>
        <item x="131"/>
        <item x="240"/>
        <item x="162"/>
        <item x="221"/>
        <item x="238"/>
        <item x="154"/>
        <item x="224"/>
        <item x="45"/>
        <item x="27"/>
        <item x="177"/>
        <item x="195"/>
        <item x="50"/>
        <item x="49"/>
        <item x="100"/>
        <item x="63"/>
        <item x="66"/>
        <item x="13"/>
        <item x="1"/>
        <item x="205"/>
        <item x="54"/>
        <item x="103"/>
        <item x="201"/>
        <item x="128"/>
        <item x="229"/>
        <item x="20"/>
        <item x="11"/>
        <item x="111"/>
        <item x="178"/>
        <item x="207"/>
        <item x="219"/>
        <item x="145"/>
        <item x="186"/>
        <item x="46"/>
        <item x="57"/>
        <item x="53"/>
        <item x="115"/>
        <item x="71"/>
        <item x="127"/>
        <item x="77"/>
        <item x="18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2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 t="grand">
      <x/>
    </i>
  </rowItems>
  <colItems count="1">
    <i/>
  </colItems>
  <dataFields count="1">
    <dataField name="Sum of Quantity" fld="1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362C4F-37C5-4181-8489-B0643615A60D}" name="PivotTable8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7:C17" firstHeaderRow="0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87">
        <item x="320"/>
        <item x="88"/>
        <item x="58"/>
        <item x="203"/>
        <item x="342"/>
        <item x="103"/>
        <item x="86"/>
        <item x="193"/>
        <item x="356"/>
        <item x="286"/>
        <item x="354"/>
        <item x="14"/>
        <item x="322"/>
        <item x="44"/>
        <item x="142"/>
        <item x="7"/>
        <item x="333"/>
        <item x="334"/>
        <item x="331"/>
        <item x="247"/>
        <item x="100"/>
        <item x="251"/>
        <item x="105"/>
        <item x="4"/>
        <item x="135"/>
        <item x="120"/>
        <item x="326"/>
        <item x="119"/>
        <item x="296"/>
        <item x="219"/>
        <item x="340"/>
        <item x="310"/>
        <item x="185"/>
        <item x="13"/>
        <item x="230"/>
        <item x="64"/>
        <item x="63"/>
        <item x="240"/>
        <item x="201"/>
        <item x="83"/>
        <item x="128"/>
        <item x="351"/>
        <item x="79"/>
        <item x="273"/>
        <item x="186"/>
        <item x="150"/>
        <item x="92"/>
        <item x="226"/>
        <item x="269"/>
        <item x="20"/>
        <item x="34"/>
        <item x="107"/>
        <item x="242"/>
        <item x="339"/>
        <item x="127"/>
        <item x="46"/>
        <item x="170"/>
        <item x="191"/>
        <item x="99"/>
        <item x="37"/>
        <item x="171"/>
        <item x="2"/>
        <item x="258"/>
        <item x="11"/>
        <item x="243"/>
        <item x="174"/>
        <item x="301"/>
        <item x="378"/>
        <item x="218"/>
        <item x="112"/>
        <item x="292"/>
        <item x="143"/>
        <item x="168"/>
        <item x="195"/>
        <item x="272"/>
        <item x="270"/>
        <item x="114"/>
        <item x="18"/>
        <item x="309"/>
        <item x="224"/>
        <item x="97"/>
        <item x="377"/>
        <item x="113"/>
        <item x="208"/>
        <item x="52"/>
        <item x="244"/>
        <item x="381"/>
        <item x="209"/>
        <item x="295"/>
        <item x="364"/>
        <item x="278"/>
        <item x="376"/>
        <item x="205"/>
        <item x="249"/>
        <item x="116"/>
        <item x="287"/>
        <item x="16"/>
        <item x="370"/>
        <item x="323"/>
        <item x="8"/>
        <item x="234"/>
        <item x="158"/>
        <item x="267"/>
        <item x="314"/>
        <item x="375"/>
        <item x="169"/>
        <item x="35"/>
        <item x="248"/>
        <item x="299"/>
        <item x="382"/>
        <item x="179"/>
        <item x="33"/>
        <item x="178"/>
        <item x="19"/>
        <item x="229"/>
        <item x="352"/>
        <item x="15"/>
        <item x="266"/>
        <item x="265"/>
        <item x="130"/>
        <item x="57"/>
        <item x="109"/>
        <item x="181"/>
        <item x="180"/>
        <item x="325"/>
        <item x="319"/>
        <item x="188"/>
        <item x="252"/>
        <item x="12"/>
        <item x="207"/>
        <item x="45"/>
        <item x="196"/>
        <item x="284"/>
        <item x="264"/>
        <item x="148"/>
        <item x="60"/>
        <item x="167"/>
        <item x="87"/>
        <item x="305"/>
        <item x="62"/>
        <item x="318"/>
        <item x="335"/>
        <item x="55"/>
        <item x="317"/>
        <item x="73"/>
        <item x="25"/>
        <item x="344"/>
        <item x="183"/>
        <item x="357"/>
        <item x="141"/>
        <item x="271"/>
        <item x="369"/>
        <item x="70"/>
        <item x="6"/>
        <item x="3"/>
        <item x="65"/>
        <item x="210"/>
        <item x="96"/>
        <item x="366"/>
        <item x="182"/>
        <item x="42"/>
        <item x="373"/>
        <item x="27"/>
        <item x="211"/>
        <item x="285"/>
        <item x="231"/>
        <item x="162"/>
        <item x="343"/>
        <item x="39"/>
        <item x="327"/>
        <item x="56"/>
        <item x="81"/>
        <item x="155"/>
        <item x="189"/>
        <item x="380"/>
        <item x="227"/>
        <item x="48"/>
        <item x="190"/>
        <item x="361"/>
        <item x="355"/>
        <item x="282"/>
        <item x="246"/>
        <item x="263"/>
        <item x="17"/>
        <item x="372"/>
        <item x="95"/>
        <item x="336"/>
        <item x="72"/>
        <item x="69"/>
        <item x="67"/>
        <item x="22"/>
        <item x="138"/>
        <item x="262"/>
        <item x="84"/>
        <item x="146"/>
        <item x="122"/>
        <item x="29"/>
        <item x="184"/>
        <item x="125"/>
        <item x="66"/>
        <item x="175"/>
        <item x="76"/>
        <item x="279"/>
        <item x="160"/>
        <item x="80"/>
        <item x="332"/>
        <item x="297"/>
        <item x="144"/>
        <item x="290"/>
        <item x="163"/>
        <item x="50"/>
        <item x="0"/>
        <item x="172"/>
        <item x="177"/>
        <item x="194"/>
        <item x="293"/>
        <item x="239"/>
        <item x="383"/>
        <item x="346"/>
        <item x="154"/>
        <item x="385"/>
        <item x="349"/>
        <item x="93"/>
        <item x="28"/>
        <item x="329"/>
        <item x="104"/>
        <item x="365"/>
        <item x="350"/>
        <item x="222"/>
        <item x="260"/>
        <item x="306"/>
        <item x="315"/>
        <item x="371"/>
        <item x="124"/>
        <item x="161"/>
        <item x="111"/>
        <item x="223"/>
        <item x="384"/>
        <item x="21"/>
        <item x="53"/>
        <item x="268"/>
        <item x="156"/>
        <item x="38"/>
        <item x="32"/>
        <item x="101"/>
        <item x="151"/>
        <item x="348"/>
        <item x="102"/>
        <item x="316"/>
        <item x="302"/>
        <item x="256"/>
        <item x="31"/>
        <item x="275"/>
        <item x="78"/>
        <item x="353"/>
        <item x="77"/>
        <item x="330"/>
        <item x="173"/>
        <item x="217"/>
        <item x="89"/>
        <item x="362"/>
        <item x="187"/>
        <item x="307"/>
        <item x="199"/>
        <item x="164"/>
        <item x="313"/>
        <item x="341"/>
        <item x="238"/>
        <item x="235"/>
        <item x="90"/>
        <item x="5"/>
        <item x="75"/>
        <item x="131"/>
        <item x="213"/>
        <item x="149"/>
        <item x="118"/>
        <item x="192"/>
        <item x="117"/>
        <item x="94"/>
        <item x="221"/>
        <item x="288"/>
        <item x="202"/>
        <item x="54"/>
        <item x="59"/>
        <item x="132"/>
        <item x="294"/>
        <item x="257"/>
        <item x="379"/>
        <item x="220"/>
        <item x="225"/>
        <item x="36"/>
        <item x="126"/>
        <item x="61"/>
        <item x="253"/>
        <item x="134"/>
        <item x="358"/>
        <item x="157"/>
        <item x="308"/>
        <item x="166"/>
        <item x="85"/>
        <item x="300"/>
        <item x="152"/>
        <item x="298"/>
        <item x="136"/>
        <item x="40"/>
        <item x="206"/>
        <item x="68"/>
        <item x="367"/>
        <item x="374"/>
        <item x="359"/>
        <item x="236"/>
        <item x="10"/>
        <item x="245"/>
        <item x="328"/>
        <item x="30"/>
        <item x="43"/>
        <item x="232"/>
        <item x="121"/>
        <item x="176"/>
        <item x="259"/>
        <item x="277"/>
        <item x="1"/>
        <item x="71"/>
        <item x="212"/>
        <item x="153"/>
        <item x="228"/>
        <item x="216"/>
        <item x="98"/>
        <item x="137"/>
        <item x="321"/>
        <item x="255"/>
        <item x="283"/>
        <item x="110"/>
        <item x="115"/>
        <item x="241"/>
        <item x="312"/>
        <item x="337"/>
        <item x="123"/>
        <item x="215"/>
        <item x="91"/>
        <item x="26"/>
        <item x="291"/>
        <item x="261"/>
        <item x="324"/>
        <item x="200"/>
        <item x="133"/>
        <item x="47"/>
        <item x="198"/>
        <item x="347"/>
        <item x="129"/>
        <item x="345"/>
        <item x="254"/>
        <item x="165"/>
        <item x="140"/>
        <item x="74"/>
        <item x="237"/>
        <item x="147"/>
        <item x="24"/>
        <item x="233"/>
        <item x="204"/>
        <item x="51"/>
        <item x="108"/>
        <item x="23"/>
        <item x="49"/>
        <item x="41"/>
        <item x="145"/>
        <item x="9"/>
        <item x="276"/>
        <item x="274"/>
        <item x="363"/>
        <item x="139"/>
        <item x="280"/>
        <item x="159"/>
        <item x="82"/>
        <item x="197"/>
        <item x="303"/>
        <item x="289"/>
        <item x="106"/>
        <item x="214"/>
        <item x="281"/>
        <item x="250"/>
        <item x="311"/>
        <item x="338"/>
        <item x="368"/>
        <item x="304"/>
        <item x="360"/>
        <item t="default"/>
      </items>
    </pivotField>
    <pivotField showAll="0">
      <items count="2">
        <item x="0"/>
        <item t="default"/>
      </items>
    </pivotField>
    <pivotField axis="axisRow" showAll="0" sortType="descending">
      <items count="10">
        <item x="4"/>
        <item x="2"/>
        <item x="3"/>
        <item x="6"/>
        <item x="7"/>
        <item x="0"/>
        <item x="5"/>
        <item x="1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85">
        <item x="353"/>
        <item x="189"/>
        <item x="22"/>
        <item x="44"/>
        <item x="211"/>
        <item x="246"/>
        <item x="371"/>
        <item x="112"/>
        <item x="243"/>
        <item x="141"/>
        <item x="105"/>
        <item x="247"/>
        <item x="187"/>
        <item x="19"/>
        <item x="321"/>
        <item x="35"/>
        <item x="380"/>
        <item x="14"/>
        <item x="362"/>
        <item x="213"/>
        <item x="106"/>
        <item x="358"/>
        <item x="309"/>
        <item x="335"/>
        <item x="301"/>
        <item x="191"/>
        <item x="101"/>
        <item x="336"/>
        <item x="134"/>
        <item x="152"/>
        <item x="147"/>
        <item x="24"/>
        <item x="29"/>
        <item x="122"/>
        <item x="274"/>
        <item x="159"/>
        <item x="288"/>
        <item x="333"/>
        <item x="203"/>
        <item x="295"/>
        <item x="259"/>
        <item x="226"/>
        <item x="149"/>
        <item x="208"/>
        <item x="312"/>
        <item x="32"/>
        <item x="348"/>
        <item x="291"/>
        <item x="369"/>
        <item x="327"/>
        <item x="28"/>
        <item x="154"/>
        <item x="347"/>
        <item x="313"/>
        <item x="381"/>
        <item x="124"/>
        <item x="363"/>
        <item x="171"/>
        <item x="104"/>
        <item x="50"/>
        <item x="160"/>
        <item x="344"/>
        <item x="93"/>
        <item x="239"/>
        <item x="193"/>
        <item x="39"/>
        <item x="368"/>
        <item x="65"/>
        <item x="332"/>
        <item x="73"/>
        <item x="342"/>
        <item x="45"/>
        <item x="60"/>
        <item x="217"/>
        <item x="181"/>
        <item x="59"/>
        <item x="109"/>
        <item x="166"/>
        <item x="286"/>
        <item x="16"/>
        <item x="62"/>
        <item x="144"/>
        <item x="139"/>
        <item x="88"/>
        <item x="192"/>
        <item x="4"/>
        <item x="330"/>
        <item x="320"/>
        <item x="97"/>
        <item x="185"/>
        <item x="113"/>
        <item x="349"/>
        <item x="114"/>
        <item x="354"/>
        <item x="242"/>
        <item x="375"/>
        <item x="169"/>
        <item x="18"/>
        <item x="173"/>
        <item x="119"/>
        <item x="370"/>
        <item x="224"/>
        <item x="378"/>
        <item x="373"/>
        <item x="355"/>
        <item x="251"/>
        <item x="284"/>
        <item x="317"/>
        <item x="277"/>
        <item x="263"/>
        <item x="27"/>
        <item x="261"/>
        <item x="71"/>
        <item x="215"/>
        <item x="84"/>
        <item x="228"/>
        <item x="207"/>
        <item x="115"/>
        <item x="254"/>
        <item x="245"/>
        <item x="230"/>
        <item x="376"/>
        <item x="190"/>
        <item x="304"/>
        <item x="3"/>
        <item x="21"/>
        <item x="252"/>
        <item x="42"/>
        <item x="326"/>
        <item x="23"/>
        <item x="1"/>
        <item x="279"/>
        <item x="237"/>
        <item x="51"/>
        <item x="153"/>
        <item x="142"/>
        <item x="120"/>
        <item x="285"/>
        <item x="329"/>
        <item x="170"/>
        <item x="352"/>
        <item x="241"/>
        <item x="236"/>
        <item x="58"/>
        <item x="343"/>
        <item x="260"/>
        <item x="6"/>
        <item x="271"/>
        <item x="137"/>
        <item x="250"/>
        <item x="372"/>
        <item x="258"/>
        <item x="10"/>
        <item x="308"/>
        <item x="199"/>
        <item x="175"/>
        <item x="366"/>
        <item x="82"/>
        <item x="56"/>
        <item x="168"/>
        <item x="70"/>
        <item x="188"/>
        <item x="367"/>
        <item x="130"/>
        <item x="374"/>
        <item x="350"/>
        <item x="177"/>
        <item x="293"/>
        <item x="87"/>
        <item x="231"/>
        <item x="364"/>
        <item x="265"/>
        <item x="204"/>
        <item x="157"/>
        <item x="229"/>
        <item x="297"/>
        <item x="81"/>
        <item x="72"/>
        <item x="123"/>
        <item x="26"/>
        <item x="275"/>
        <item x="379"/>
        <item x="202"/>
        <item x="7"/>
        <item x="30"/>
        <item x="135"/>
        <item x="318"/>
        <item x="340"/>
        <item x="310"/>
        <item x="37"/>
        <item x="64"/>
        <item x="341"/>
        <item x="161"/>
        <item x="178"/>
        <item x="55"/>
        <item x="80"/>
        <item x="234"/>
        <item x="48"/>
        <item x="338"/>
        <item x="103"/>
        <item x="100"/>
        <item x="233"/>
        <item x="20"/>
        <item x="359"/>
        <item x="280"/>
        <item x="302"/>
        <item x="319"/>
        <item x="92"/>
        <item x="307"/>
        <item x="184"/>
        <item x="273"/>
        <item x="13"/>
        <item x="2"/>
        <item x="200"/>
        <item x="272"/>
        <item x="150"/>
        <item x="337"/>
        <item x="299"/>
        <item x="194"/>
        <item x="11"/>
        <item x="244"/>
        <item x="83"/>
        <item x="269"/>
        <item x="240"/>
        <item x="167"/>
        <item x="63"/>
        <item x="174"/>
        <item x="183"/>
        <item x="125"/>
        <item x="66"/>
        <item x="296"/>
        <item x="270"/>
        <item x="110"/>
        <item x="361"/>
        <item x="197"/>
        <item x="33"/>
        <item x="248"/>
        <item x="17"/>
        <item x="151"/>
        <item x="257"/>
        <item x="34"/>
        <item x="158"/>
        <item x="249"/>
        <item x="283"/>
        <item x="323"/>
        <item x="46"/>
        <item x="116"/>
        <item x="148"/>
        <item x="315"/>
        <item x="143"/>
        <item x="357"/>
        <item x="255"/>
        <item x="316"/>
        <item x="345"/>
        <item x="146"/>
        <item x="303"/>
        <item x="300"/>
        <item x="67"/>
        <item x="129"/>
        <item x="268"/>
        <item x="155"/>
        <item x="176"/>
        <item x="253"/>
        <item x="145"/>
        <item x="140"/>
        <item x="49"/>
        <item x="41"/>
        <item x="133"/>
        <item x="79"/>
        <item x="107"/>
        <item x="99"/>
        <item x="128"/>
        <item x="294"/>
        <item x="86"/>
        <item x="0"/>
        <item x="221"/>
        <item x="43"/>
        <item x="383"/>
        <item x="38"/>
        <item x="47"/>
        <item x="339"/>
        <item x="89"/>
        <item x="118"/>
        <item x="205"/>
        <item x="334"/>
        <item x="98"/>
        <item x="206"/>
        <item x="127"/>
        <item x="95"/>
        <item x="218"/>
        <item x="196"/>
        <item x="76"/>
        <item x="282"/>
        <item x="180"/>
        <item x="8"/>
        <item x="266"/>
        <item x="262"/>
        <item x="9"/>
        <item x="214"/>
        <item x="40"/>
        <item x="108"/>
        <item x="91"/>
        <item x="289"/>
        <item x="121"/>
        <item x="322"/>
        <item x="276"/>
        <item x="164"/>
        <item x="356"/>
        <item x="74"/>
        <item x="57"/>
        <item x="331"/>
        <item x="324"/>
        <item x="182"/>
        <item x="210"/>
        <item x="52"/>
        <item x="69"/>
        <item x="138"/>
        <item x="61"/>
        <item x="162"/>
        <item x="264"/>
        <item x="126"/>
        <item x="281"/>
        <item x="267"/>
        <item x="227"/>
        <item x="195"/>
        <item x="15"/>
        <item x="209"/>
        <item x="179"/>
        <item x="12"/>
        <item x="96"/>
        <item x="25"/>
        <item x="325"/>
        <item x="219"/>
        <item x="117"/>
        <item x="136"/>
        <item x="220"/>
        <item x="232"/>
        <item x="78"/>
        <item x="186"/>
        <item x="90"/>
        <item x="382"/>
        <item x="311"/>
        <item x="306"/>
        <item x="235"/>
        <item x="287"/>
        <item x="222"/>
        <item x="223"/>
        <item x="85"/>
        <item x="256"/>
        <item x="102"/>
        <item x="75"/>
        <item x="94"/>
        <item x="68"/>
        <item x="377"/>
        <item x="198"/>
        <item x="165"/>
        <item x="36"/>
        <item x="77"/>
        <item x="132"/>
        <item x="212"/>
        <item x="365"/>
        <item x="201"/>
        <item x="360"/>
        <item x="5"/>
        <item x="314"/>
        <item x="216"/>
        <item x="346"/>
        <item x="225"/>
        <item x="328"/>
        <item x="53"/>
        <item x="54"/>
        <item x="111"/>
        <item x="172"/>
        <item x="156"/>
        <item x="351"/>
        <item x="298"/>
        <item x="163"/>
        <item x="305"/>
        <item x="292"/>
        <item x="31"/>
        <item x="131"/>
        <item x="238"/>
        <item x="278"/>
        <item x="290"/>
        <item t="default"/>
      </items>
    </pivotField>
    <pivotField dataField="1"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0">
    <i>
      <x v="7"/>
    </i>
    <i>
      <x v="2"/>
    </i>
    <i>
      <x/>
    </i>
    <i>
      <x v="6"/>
    </i>
    <i>
      <x v="1"/>
    </i>
    <i>
      <x v="8"/>
    </i>
    <i>
      <x v="3"/>
    </i>
    <i>
      <x v="5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6762F5-38AD-4974-A9DA-41C16B31A618}" name="PivotTable7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44:L313" firstHeaderRow="1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242">
        <item x="163"/>
        <item x="3"/>
        <item x="112"/>
        <item x="215"/>
        <item x="110"/>
        <item x="158"/>
        <item x="7"/>
        <item x="94"/>
        <item x="102"/>
        <item x="129"/>
        <item x="120"/>
        <item x="95"/>
        <item x="170"/>
        <item x="152"/>
        <item x="67"/>
        <item x="220"/>
        <item x="202"/>
        <item x="189"/>
        <item x="167"/>
        <item x="188"/>
        <item x="123"/>
        <item x="196"/>
        <item x="93"/>
        <item x="141"/>
        <item x="160"/>
        <item x="182"/>
        <item x="233"/>
        <item x="2"/>
        <item x="60"/>
        <item x="237"/>
        <item x="217"/>
        <item x="157"/>
        <item x="126"/>
        <item x="101"/>
        <item x="22"/>
        <item x="74"/>
        <item x="235"/>
        <item x="194"/>
        <item x="91"/>
        <item x="173"/>
        <item x="70"/>
        <item x="90"/>
        <item x="180"/>
        <item x="200"/>
        <item x="88"/>
        <item x="210"/>
        <item x="134"/>
        <item x="187"/>
        <item x="222"/>
        <item x="192"/>
        <item x="42"/>
        <item x="156"/>
        <item x="232"/>
        <item x="99"/>
        <item x="203"/>
        <item x="179"/>
        <item x="61"/>
        <item x="234"/>
        <item x="30"/>
        <item x="151"/>
        <item x="138"/>
        <item x="82"/>
        <item x="159"/>
        <item x="109"/>
        <item x="231"/>
        <item x="211"/>
        <item x="165"/>
        <item x="65"/>
        <item x="168"/>
        <item x="236"/>
        <item x="86"/>
        <item x="89"/>
        <item x="28"/>
        <item x="18"/>
        <item x="218"/>
        <item x="87"/>
        <item x="227"/>
        <item x="80"/>
        <item x="0"/>
        <item x="181"/>
        <item x="84"/>
        <item x="47"/>
        <item x="81"/>
        <item x="143"/>
        <item x="175"/>
        <item x="226"/>
        <item x="10"/>
        <item x="204"/>
        <item x="149"/>
        <item x="164"/>
        <item x="37"/>
        <item x="239"/>
        <item x="15"/>
        <item x="105"/>
        <item x="72"/>
        <item x="197"/>
        <item x="191"/>
        <item x="44"/>
        <item x="106"/>
        <item x="32"/>
        <item x="212"/>
        <item x="169"/>
        <item x="119"/>
        <item x="39"/>
        <item x="51"/>
        <item x="114"/>
        <item x="24"/>
        <item x="5"/>
        <item x="4"/>
        <item x="62"/>
        <item x="79"/>
        <item x="29"/>
        <item x="98"/>
        <item x="117"/>
        <item x="25"/>
        <item x="52"/>
        <item x="225"/>
        <item x="176"/>
        <item x="174"/>
        <item x="148"/>
        <item x="78"/>
        <item x="76"/>
        <item x="64"/>
        <item x="113"/>
        <item x="199"/>
        <item x="108"/>
        <item x="41"/>
        <item x="19"/>
        <item x="216"/>
        <item x="147"/>
        <item x="33"/>
        <item x="34"/>
        <item x="9"/>
        <item x="26"/>
        <item x="85"/>
        <item x="133"/>
        <item x="23"/>
        <item x="36"/>
        <item x="132"/>
        <item x="136"/>
        <item x="92"/>
        <item x="97"/>
        <item x="83"/>
        <item x="21"/>
        <item x="116"/>
        <item x="40"/>
        <item x="48"/>
        <item x="75"/>
        <item x="130"/>
        <item x="166"/>
        <item x="172"/>
        <item x="185"/>
        <item x="12"/>
        <item x="73"/>
        <item x="213"/>
        <item x="153"/>
        <item x="198"/>
        <item x="161"/>
        <item x="146"/>
        <item x="59"/>
        <item x="118"/>
        <item x="139"/>
        <item x="121"/>
        <item x="208"/>
        <item x="68"/>
        <item x="135"/>
        <item x="184"/>
        <item x="150"/>
        <item x="125"/>
        <item x="155"/>
        <item x="69"/>
        <item x="190"/>
        <item x="144"/>
        <item x="193"/>
        <item x="124"/>
        <item x="55"/>
        <item x="104"/>
        <item x="214"/>
        <item x="56"/>
        <item x="96"/>
        <item x="16"/>
        <item x="171"/>
        <item x="31"/>
        <item x="6"/>
        <item x="107"/>
        <item x="17"/>
        <item x="140"/>
        <item x="228"/>
        <item x="14"/>
        <item x="122"/>
        <item x="142"/>
        <item x="38"/>
        <item x="209"/>
        <item x="35"/>
        <item x="137"/>
        <item x="206"/>
        <item x="43"/>
        <item x="223"/>
        <item x="58"/>
        <item x="230"/>
        <item x="131"/>
        <item x="240"/>
        <item x="162"/>
        <item x="221"/>
        <item x="238"/>
        <item x="154"/>
        <item x="224"/>
        <item x="45"/>
        <item x="27"/>
        <item x="177"/>
        <item x="195"/>
        <item x="50"/>
        <item x="49"/>
        <item x="100"/>
        <item x="63"/>
        <item x="66"/>
        <item x="13"/>
        <item x="1"/>
        <item x="205"/>
        <item x="54"/>
        <item x="103"/>
        <item x="201"/>
        <item x="128"/>
        <item x="229"/>
        <item x="20"/>
        <item x="11"/>
        <item x="111"/>
        <item x="178"/>
        <item x="207"/>
        <item x="219"/>
        <item x="145"/>
        <item x="186"/>
        <item x="46"/>
        <item x="57"/>
        <item x="53"/>
        <item x="115"/>
        <item x="71"/>
        <item x="127"/>
        <item x="77"/>
        <item x="183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4"/>
    <field x="5"/>
  </rowFields>
  <rowItems count="269">
    <i>
      <x/>
    </i>
    <i r="1">
      <x v="2"/>
    </i>
    <i r="1">
      <x v="18"/>
    </i>
    <i r="1">
      <x v="20"/>
    </i>
    <i r="1">
      <x v="22"/>
    </i>
    <i r="1">
      <x v="35"/>
    </i>
    <i r="1">
      <x v="58"/>
    </i>
    <i r="1">
      <x v="60"/>
    </i>
    <i r="1">
      <x v="61"/>
    </i>
    <i r="1">
      <x v="70"/>
    </i>
    <i r="1">
      <x v="74"/>
    </i>
    <i r="1">
      <x v="81"/>
    </i>
    <i r="1">
      <x v="85"/>
    </i>
    <i r="1">
      <x v="104"/>
    </i>
    <i r="1">
      <x v="110"/>
    </i>
    <i r="1">
      <x v="118"/>
    </i>
    <i r="1">
      <x v="128"/>
    </i>
    <i r="1">
      <x v="133"/>
    </i>
    <i r="1">
      <x v="136"/>
    </i>
    <i r="1">
      <x v="137"/>
    </i>
    <i r="1">
      <x v="141"/>
    </i>
    <i r="1">
      <x v="148"/>
    </i>
    <i r="1">
      <x v="154"/>
    </i>
    <i r="1">
      <x v="162"/>
    </i>
    <i r="1">
      <x v="164"/>
    </i>
    <i r="1">
      <x v="167"/>
    </i>
    <i r="1">
      <x v="171"/>
    </i>
    <i r="1">
      <x v="174"/>
    </i>
    <i r="1">
      <x v="179"/>
    </i>
    <i r="1">
      <x v="180"/>
    </i>
    <i r="1">
      <x v="184"/>
    </i>
    <i r="1">
      <x v="192"/>
    </i>
    <i r="1">
      <x v="207"/>
    </i>
    <i r="1">
      <x v="208"/>
    </i>
    <i r="1">
      <x v="213"/>
    </i>
    <i r="1">
      <x v="219"/>
    </i>
    <i r="1">
      <x v="220"/>
    </i>
    <i r="1">
      <x v="224"/>
    </i>
    <i r="1">
      <x v="229"/>
    </i>
    <i r="1">
      <x v="231"/>
    </i>
    <i r="1">
      <x v="233"/>
    </i>
    <i r="1">
      <x v="234"/>
    </i>
    <i r="1">
      <x v="235"/>
    </i>
    <i>
      <x v="1"/>
    </i>
    <i r="1">
      <x v="87"/>
    </i>
    <i r="1">
      <x v="100"/>
    </i>
    <i r="1">
      <x v="158"/>
    </i>
    <i r="1">
      <x v="160"/>
    </i>
    <i r="1">
      <x v="195"/>
    </i>
    <i>
      <x v="2"/>
    </i>
    <i r="1">
      <x v="6"/>
    </i>
    <i r="1">
      <x v="9"/>
    </i>
    <i r="1">
      <x v="11"/>
    </i>
    <i r="1">
      <x v="12"/>
    </i>
    <i r="1">
      <x v="24"/>
    </i>
    <i r="1">
      <x v="29"/>
    </i>
    <i r="1">
      <x v="32"/>
    </i>
    <i r="1">
      <x v="33"/>
    </i>
    <i r="1">
      <x v="39"/>
    </i>
    <i r="1">
      <x v="44"/>
    </i>
    <i r="1">
      <x v="49"/>
    </i>
    <i r="1">
      <x v="50"/>
    </i>
    <i r="1">
      <x v="57"/>
    </i>
    <i r="1">
      <x v="59"/>
    </i>
    <i r="1">
      <x v="63"/>
    </i>
    <i r="1">
      <x v="67"/>
    </i>
    <i r="1">
      <x v="68"/>
    </i>
    <i r="1">
      <x v="71"/>
    </i>
    <i r="1">
      <x v="78"/>
    </i>
    <i r="1">
      <x v="80"/>
    </i>
    <i r="1">
      <x v="83"/>
    </i>
    <i r="1">
      <x v="86"/>
    </i>
    <i r="1">
      <x v="89"/>
    </i>
    <i r="1">
      <x v="95"/>
    </i>
    <i r="1">
      <x v="96"/>
    </i>
    <i r="1">
      <x v="99"/>
    </i>
    <i r="1">
      <x v="103"/>
    </i>
    <i r="1">
      <x v="112"/>
    </i>
    <i r="1">
      <x v="114"/>
    </i>
    <i r="1">
      <x v="124"/>
    </i>
    <i r="1">
      <x v="125"/>
    </i>
    <i r="1">
      <x v="127"/>
    </i>
    <i r="1">
      <x v="129"/>
    </i>
    <i r="1">
      <x v="131"/>
    </i>
    <i r="1">
      <x v="140"/>
    </i>
    <i r="1">
      <x v="142"/>
    </i>
    <i r="1">
      <x v="147"/>
    </i>
    <i r="1">
      <x v="150"/>
    </i>
    <i r="1">
      <x v="152"/>
    </i>
    <i r="1">
      <x v="173"/>
    </i>
    <i r="1">
      <x v="177"/>
    </i>
    <i r="1">
      <x v="179"/>
    </i>
    <i r="1">
      <x v="183"/>
    </i>
    <i r="1">
      <x v="185"/>
    </i>
    <i r="1">
      <x v="186"/>
    </i>
    <i r="1">
      <x v="190"/>
    </i>
    <i r="1">
      <x v="196"/>
    </i>
    <i r="1">
      <x v="202"/>
    </i>
    <i r="1">
      <x v="207"/>
    </i>
    <i r="1">
      <x v="214"/>
    </i>
    <i r="1">
      <x v="222"/>
    </i>
    <i r="1">
      <x v="225"/>
    </i>
    <i r="1">
      <x v="227"/>
    </i>
    <i r="1">
      <x v="228"/>
    </i>
    <i r="1">
      <x v="240"/>
    </i>
    <i>
      <x v="3"/>
    </i>
    <i r="1">
      <x/>
    </i>
    <i r="1">
      <x v="1"/>
    </i>
    <i r="1">
      <x v="3"/>
    </i>
    <i r="1">
      <x v="4"/>
    </i>
    <i r="1">
      <x v="5"/>
    </i>
    <i r="1">
      <x v="7"/>
    </i>
    <i r="1">
      <x v="8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30"/>
    </i>
    <i r="1">
      <x v="31"/>
    </i>
    <i r="1">
      <x v="34"/>
    </i>
    <i r="1">
      <x v="36"/>
    </i>
    <i r="1">
      <x v="37"/>
    </i>
    <i r="1">
      <x v="38"/>
    </i>
    <i r="1">
      <x v="40"/>
    </i>
    <i r="1">
      <x v="41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8"/>
    </i>
    <i r="1">
      <x v="61"/>
    </i>
    <i r="1">
      <x v="62"/>
    </i>
    <i r="1">
      <x v="64"/>
    </i>
    <i r="1">
      <x v="65"/>
    </i>
    <i r="1">
      <x v="66"/>
    </i>
    <i r="1">
      <x v="69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9"/>
    </i>
    <i r="1">
      <x v="82"/>
    </i>
    <i r="1">
      <x v="83"/>
    </i>
    <i r="1">
      <x v="84"/>
    </i>
    <i r="1">
      <x v="88"/>
    </i>
    <i r="1">
      <x v="90"/>
    </i>
    <i r="1">
      <x v="91"/>
    </i>
    <i r="1">
      <x v="92"/>
    </i>
    <i r="1">
      <x v="93"/>
    </i>
    <i r="1">
      <x v="94"/>
    </i>
    <i r="1">
      <x v="97"/>
    </i>
    <i r="1">
      <x v="98"/>
    </i>
    <i r="1">
      <x v="101"/>
    </i>
    <i r="1">
      <x v="102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9"/>
    </i>
    <i r="1">
      <x v="120"/>
    </i>
    <i r="1">
      <x v="121"/>
    </i>
    <i r="1">
      <x v="122"/>
    </i>
    <i r="1">
      <x v="123"/>
    </i>
    <i r="1">
      <x v="126"/>
    </i>
    <i r="1">
      <x v="127"/>
    </i>
    <i r="1">
      <x v="130"/>
    </i>
    <i r="1">
      <x v="132"/>
    </i>
    <i r="1">
      <x v="133"/>
    </i>
    <i r="1">
      <x v="134"/>
    </i>
    <i r="1">
      <x v="135"/>
    </i>
    <i r="1">
      <x v="138"/>
    </i>
    <i r="1">
      <x v="139"/>
    </i>
    <i r="1">
      <x v="143"/>
    </i>
    <i r="1">
      <x v="144"/>
    </i>
    <i r="1">
      <x v="145"/>
    </i>
    <i r="1">
      <x v="146"/>
    </i>
    <i r="1">
      <x v="147"/>
    </i>
    <i r="1">
      <x v="149"/>
    </i>
    <i r="1">
      <x v="151"/>
    </i>
    <i r="1">
      <x v="153"/>
    </i>
    <i r="1">
      <x v="155"/>
    </i>
    <i r="1">
      <x v="156"/>
    </i>
    <i r="1">
      <x v="157"/>
    </i>
    <i r="1">
      <x v="158"/>
    </i>
    <i r="1">
      <x v="159"/>
    </i>
    <i r="1">
      <x v="161"/>
    </i>
    <i r="1">
      <x v="163"/>
    </i>
    <i r="1">
      <x v="164"/>
    </i>
    <i r="1">
      <x v="165"/>
    </i>
    <i r="1">
      <x v="166"/>
    </i>
    <i r="1">
      <x v="168"/>
    </i>
    <i r="1">
      <x v="169"/>
    </i>
    <i r="1">
      <x v="170"/>
    </i>
    <i r="1">
      <x v="172"/>
    </i>
    <i r="1">
      <x v="175"/>
    </i>
    <i r="1">
      <x v="176"/>
    </i>
    <i r="1">
      <x v="178"/>
    </i>
    <i r="1">
      <x v="181"/>
    </i>
    <i r="1">
      <x v="182"/>
    </i>
    <i r="1">
      <x v="183"/>
    </i>
    <i r="1">
      <x v="187"/>
    </i>
    <i r="1">
      <x v="188"/>
    </i>
    <i r="1">
      <x v="189"/>
    </i>
    <i r="1">
      <x v="191"/>
    </i>
    <i r="1">
      <x v="193"/>
    </i>
    <i r="1">
      <x v="194"/>
    </i>
    <i r="1">
      <x v="197"/>
    </i>
    <i r="1">
      <x v="198"/>
    </i>
    <i r="1">
      <x v="199"/>
    </i>
    <i r="1">
      <x v="200"/>
    </i>
    <i r="1">
      <x v="201"/>
    </i>
    <i r="1">
      <x v="203"/>
    </i>
    <i r="1">
      <x v="204"/>
    </i>
    <i r="1">
      <x v="205"/>
    </i>
    <i r="1">
      <x v="206"/>
    </i>
    <i r="1">
      <x v="209"/>
    </i>
    <i r="1">
      <x v="210"/>
    </i>
    <i r="1">
      <x v="211"/>
    </i>
    <i r="1">
      <x v="212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3"/>
    </i>
    <i r="1">
      <x v="225"/>
    </i>
    <i r="1">
      <x v="226"/>
    </i>
    <i r="1">
      <x v="230"/>
    </i>
    <i r="1">
      <x v="232"/>
    </i>
    <i r="1">
      <x v="234"/>
    </i>
    <i r="1">
      <x v="235"/>
    </i>
    <i r="1">
      <x v="236"/>
    </i>
    <i r="1">
      <x v="237"/>
    </i>
    <i r="1">
      <x v="238"/>
    </i>
    <i r="1">
      <x v="239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9D0072-695E-4559-B94E-6EB7B157AEE5}" name="Top 5 Customer by Sales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W1:X7" firstHeaderRow="1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axis="axisRow" showAll="0" measureFilter="1" sortType="descending">
      <items count="242">
        <item x="112"/>
        <item x="167"/>
        <item x="215"/>
        <item x="158"/>
        <item x="95"/>
        <item x="188"/>
        <item x="7"/>
        <item x="123"/>
        <item x="67"/>
        <item x="163"/>
        <item x="202"/>
        <item x="110"/>
        <item x="3"/>
        <item x="94"/>
        <item x="189"/>
        <item x="102"/>
        <item x="129"/>
        <item x="196"/>
        <item x="120"/>
        <item x="220"/>
        <item x="170"/>
        <item x="152"/>
        <item x="93"/>
        <item x="233"/>
        <item x="126"/>
        <item x="60"/>
        <item x="101"/>
        <item x="235"/>
        <item x="217"/>
        <item x="157"/>
        <item x="141"/>
        <item x="22"/>
        <item x="160"/>
        <item x="2"/>
        <item x="182"/>
        <item x="74"/>
        <item x="237"/>
        <item x="151"/>
        <item x="179"/>
        <item x="210"/>
        <item x="134"/>
        <item x="70"/>
        <item x="61"/>
        <item x="180"/>
        <item x="187"/>
        <item x="234"/>
        <item x="194"/>
        <item x="91"/>
        <item x="222"/>
        <item x="232"/>
        <item x="156"/>
        <item x="30"/>
        <item x="200"/>
        <item x="90"/>
        <item x="42"/>
        <item x="192"/>
        <item x="99"/>
        <item x="88"/>
        <item x="203"/>
        <item x="173"/>
        <item x="236"/>
        <item x="87"/>
        <item x="165"/>
        <item x="18"/>
        <item x="227"/>
        <item x="0"/>
        <item x="138"/>
        <item x="82"/>
        <item x="65"/>
        <item x="218"/>
        <item x="80"/>
        <item x="159"/>
        <item x="168"/>
        <item x="231"/>
        <item x="86"/>
        <item x="181"/>
        <item x="84"/>
        <item x="47"/>
        <item x="89"/>
        <item x="109"/>
        <item x="211"/>
        <item x="28"/>
        <item x="143"/>
        <item x="175"/>
        <item x="37"/>
        <item x="226"/>
        <item x="164"/>
        <item x="10"/>
        <item x="239"/>
        <item x="81"/>
        <item x="149"/>
        <item x="15"/>
        <item x="204"/>
        <item x="105"/>
        <item x="72"/>
        <item x="197"/>
        <item x="32"/>
        <item x="39"/>
        <item x="191"/>
        <item x="106"/>
        <item x="212"/>
        <item x="44"/>
        <item x="169"/>
        <item x="119"/>
        <item x="5"/>
        <item x="114"/>
        <item x="51"/>
        <item x="24"/>
        <item x="4"/>
        <item x="41"/>
        <item x="19"/>
        <item x="225"/>
        <item x="62"/>
        <item x="176"/>
        <item x="174"/>
        <item x="113"/>
        <item x="147"/>
        <item x="216"/>
        <item x="64"/>
        <item x="33"/>
        <item x="25"/>
        <item x="148"/>
        <item x="199"/>
        <item x="108"/>
        <item x="98"/>
        <item x="78"/>
        <item x="79"/>
        <item x="76"/>
        <item x="117"/>
        <item x="29"/>
        <item x="52"/>
        <item x="23"/>
        <item x="34"/>
        <item x="36"/>
        <item x="116"/>
        <item x="132"/>
        <item x="85"/>
        <item x="97"/>
        <item x="9"/>
        <item x="26"/>
        <item x="136"/>
        <item x="83"/>
        <item x="133"/>
        <item x="92"/>
        <item x="21"/>
        <item x="40"/>
        <item x="48"/>
        <item x="185"/>
        <item x="166"/>
        <item x="172"/>
        <item x="75"/>
        <item x="130"/>
        <item x="73"/>
        <item x="153"/>
        <item x="155"/>
        <item x="68"/>
        <item x="69"/>
        <item x="12"/>
        <item x="198"/>
        <item x="59"/>
        <item x="146"/>
        <item x="208"/>
        <item x="184"/>
        <item x="213"/>
        <item x="118"/>
        <item x="135"/>
        <item x="150"/>
        <item x="161"/>
        <item x="139"/>
        <item x="125"/>
        <item x="121"/>
        <item x="214"/>
        <item x="193"/>
        <item x="144"/>
        <item x="124"/>
        <item x="104"/>
        <item x="55"/>
        <item x="96"/>
        <item x="190"/>
        <item x="56"/>
        <item x="16"/>
        <item x="171"/>
        <item x="107"/>
        <item x="17"/>
        <item x="31"/>
        <item x="6"/>
        <item x="140"/>
        <item x="228"/>
        <item x="142"/>
        <item x="38"/>
        <item x="240"/>
        <item x="209"/>
        <item x="162"/>
        <item x="35"/>
        <item x="230"/>
        <item x="221"/>
        <item x="137"/>
        <item x="223"/>
        <item x="206"/>
        <item x="131"/>
        <item x="14"/>
        <item x="58"/>
        <item x="122"/>
        <item x="43"/>
        <item x="49"/>
        <item x="66"/>
        <item x="50"/>
        <item x="154"/>
        <item x="128"/>
        <item x="177"/>
        <item x="1"/>
        <item x="100"/>
        <item x="63"/>
        <item x="205"/>
        <item x="54"/>
        <item x="224"/>
        <item x="13"/>
        <item x="45"/>
        <item x="201"/>
        <item x="27"/>
        <item x="238"/>
        <item x="103"/>
        <item x="229"/>
        <item x="195"/>
        <item x="111"/>
        <item x="53"/>
        <item x="145"/>
        <item x="20"/>
        <item x="57"/>
        <item x="186"/>
        <item x="207"/>
        <item x="11"/>
        <item x="219"/>
        <item x="46"/>
        <item x="178"/>
        <item x="71"/>
        <item x="127"/>
        <item x="115"/>
        <item x="77"/>
        <item x="18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6"/>
  </rowFields>
  <rowItems count="6">
    <i>
      <x v="50"/>
    </i>
    <i>
      <x/>
    </i>
    <i>
      <x v="124"/>
    </i>
    <i>
      <x v="76"/>
    </i>
    <i>
      <x v="4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6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53C832-E7A1-4168-8B60-C7212FC67F27}" name="PivotTable5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K3:M42" firstHeaderRow="0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133">
        <item x="50"/>
        <item x="103"/>
        <item x="70"/>
        <item x="71"/>
        <item x="98"/>
        <item x="92"/>
        <item x="28"/>
        <item x="76"/>
        <item x="67"/>
        <item x="128"/>
        <item x="32"/>
        <item x="115"/>
        <item x="89"/>
        <item x="42"/>
        <item x="118"/>
        <item x="61"/>
        <item x="29"/>
        <item x="117"/>
        <item x="23"/>
        <item x="63"/>
        <item x="66"/>
        <item x="130"/>
        <item x="31"/>
        <item x="2"/>
        <item x="96"/>
        <item x="126"/>
        <item x="52"/>
        <item x="108"/>
        <item x="21"/>
        <item x="51"/>
        <item x="129"/>
        <item x="56"/>
        <item x="55"/>
        <item x="22"/>
        <item x="12"/>
        <item x="41"/>
        <item x="45"/>
        <item x="95"/>
        <item x="1"/>
        <item x="4"/>
        <item x="38"/>
        <item x="8"/>
        <item x="90"/>
        <item x="17"/>
        <item x="46"/>
        <item x="99"/>
        <item x="127"/>
        <item x="107"/>
        <item x="48"/>
        <item x="79"/>
        <item x="102"/>
        <item x="74"/>
        <item x="122"/>
        <item x="10"/>
        <item x="86"/>
        <item x="94"/>
        <item x="36"/>
        <item x="64"/>
        <item x="19"/>
        <item x="91"/>
        <item x="59"/>
        <item x="69"/>
        <item x="131"/>
        <item x="106"/>
        <item x="83"/>
        <item x="88"/>
        <item x="75"/>
        <item x="93"/>
        <item x="73"/>
        <item x="0"/>
        <item x="113"/>
        <item x="77"/>
        <item x="5"/>
        <item x="78"/>
        <item x="104"/>
        <item x="54"/>
        <item x="11"/>
        <item x="20"/>
        <item x="101"/>
        <item x="85"/>
        <item x="25"/>
        <item x="110"/>
        <item x="100"/>
        <item x="62"/>
        <item x="120"/>
        <item x="124"/>
        <item x="14"/>
        <item x="15"/>
        <item x="44"/>
        <item x="123"/>
        <item x="121"/>
        <item x="119"/>
        <item x="97"/>
        <item x="37"/>
        <item x="82"/>
        <item x="9"/>
        <item x="34"/>
        <item x="111"/>
        <item x="26"/>
        <item x="81"/>
        <item x="47"/>
        <item x="87"/>
        <item x="24"/>
        <item x="35"/>
        <item x="53"/>
        <item x="27"/>
        <item x="72"/>
        <item x="105"/>
        <item x="43"/>
        <item x="60"/>
        <item x="7"/>
        <item x="40"/>
        <item x="58"/>
        <item x="39"/>
        <item x="3"/>
        <item x="112"/>
        <item x="18"/>
        <item x="65"/>
        <item x="57"/>
        <item x="68"/>
        <item x="125"/>
        <item x="16"/>
        <item x="80"/>
        <item x="114"/>
        <item x="30"/>
        <item x="109"/>
        <item x="84"/>
        <item x="116"/>
        <item x="6"/>
        <item x="49"/>
        <item x="13"/>
        <item x="33"/>
        <item t="default"/>
      </items>
    </pivotField>
    <pivotField axis="axisRow" showAll="0">
      <items count="39">
        <item x="16"/>
        <item x="13"/>
        <item x="33"/>
        <item x="0"/>
        <item x="19"/>
        <item x="26"/>
        <item x="22"/>
        <item x="1"/>
        <item x="29"/>
        <item x="17"/>
        <item x="11"/>
        <item x="20"/>
        <item x="32"/>
        <item x="36"/>
        <item x="28"/>
        <item x="10"/>
        <item x="9"/>
        <item x="35"/>
        <item x="23"/>
        <item x="34"/>
        <item x="7"/>
        <item x="30"/>
        <item x="27"/>
        <item x="25"/>
        <item x="12"/>
        <item x="2"/>
        <item x="21"/>
        <item x="24"/>
        <item x="18"/>
        <item x="8"/>
        <item x="31"/>
        <item x="37"/>
        <item x="15"/>
        <item x="4"/>
        <item x="6"/>
        <item x="14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0"/>
  </rowFields>
  <rowItems count="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20" baseField="0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218EF-5A80-486F-BDBA-0486C995FF6F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F4:H17" firstHeaderRow="0" firstDataRow="1" firstDataCol="1" rowPageCount="1" colPageCount="1"/>
  <pivotFields count="25">
    <pivotField showAll="0"/>
    <pivotField showAll="0"/>
    <pivotField axis="axisRow"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3">
    <field x="22"/>
    <field x="2"/>
    <field x="2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pageFields count="1">
    <pageField fld="24" hier="-1"/>
  </pageFields>
  <dataFields count="2">
    <dataField name="Sum of Sales" fld="17" baseField="0" baseItem="0"/>
    <dataField name="Sum of Revenue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B27FE4-11E4-44A3-9CFA-3C36B220BA0A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3:D4" firstHeaderRow="0" firstDataRow="1" firstDataCol="0"/>
  <pivotFields count="25">
    <pivotField showAll="0"/>
    <pivotField showAll="0">
      <items count="281">
        <item x="253"/>
        <item x="6"/>
        <item x="22"/>
        <item x="264"/>
        <item x="107"/>
        <item x="104"/>
        <item x="248"/>
        <item x="260"/>
        <item x="142"/>
        <item x="171"/>
        <item x="249"/>
        <item x="44"/>
        <item x="2"/>
        <item x="135"/>
        <item x="62"/>
        <item x="120"/>
        <item x="128"/>
        <item x="262"/>
        <item x="168"/>
        <item x="118"/>
        <item x="106"/>
        <item x="208"/>
        <item x="87"/>
        <item x="76"/>
        <item x="170"/>
        <item x="207"/>
        <item x="247"/>
        <item x="29"/>
        <item x="61"/>
        <item x="72"/>
        <item x="8"/>
        <item x="166"/>
        <item x="196"/>
        <item x="17"/>
        <item x="211"/>
        <item x="252"/>
        <item x="143"/>
        <item x="193"/>
        <item x="277"/>
        <item x="113"/>
        <item x="243"/>
        <item x="269"/>
        <item x="111"/>
        <item x="112"/>
        <item x="271"/>
        <item x="67"/>
        <item x="7"/>
        <item x="110"/>
        <item x="70"/>
        <item x="162"/>
        <item x="52"/>
        <item x="267"/>
        <item x="190"/>
        <item x="18"/>
        <item x="276"/>
        <item x="13"/>
        <item x="56"/>
        <item x="246"/>
        <item x="140"/>
        <item x="279"/>
        <item x="55"/>
        <item x="205"/>
        <item x="119"/>
        <item x="197"/>
        <item x="133"/>
        <item x="101"/>
        <item x="71"/>
        <item x="245"/>
        <item x="203"/>
        <item x="172"/>
        <item x="187"/>
        <item x="21"/>
        <item x="66"/>
        <item x="117"/>
        <item x="218"/>
        <item x="272"/>
        <item x="176"/>
        <item x="79"/>
        <item x="233"/>
        <item x="186"/>
        <item x="35"/>
        <item x="201"/>
        <item x="30"/>
        <item x="165"/>
        <item x="274"/>
        <item x="97"/>
        <item x="180"/>
        <item x="181"/>
        <item x="82"/>
        <item x="81"/>
        <item x="167"/>
        <item x="14"/>
        <item x="46"/>
        <item x="228"/>
        <item x="68"/>
        <item x="19"/>
        <item x="24"/>
        <item x="177"/>
        <item x="141"/>
        <item x="34"/>
        <item x="163"/>
        <item x="103"/>
        <item x="94"/>
        <item x="20"/>
        <item x="102"/>
        <item x="254"/>
        <item x="194"/>
        <item x="60"/>
        <item x="57"/>
        <item x="53"/>
        <item x="256"/>
        <item x="158"/>
        <item x="224"/>
        <item x="16"/>
        <item x="23"/>
        <item x="209"/>
        <item x="214"/>
        <item x="10"/>
        <item x="234"/>
        <item x="173"/>
        <item x="184"/>
        <item x="28"/>
        <item x="200"/>
        <item x="154"/>
        <item x="43"/>
        <item x="123"/>
        <item x="40"/>
        <item x="125"/>
        <item x="80"/>
        <item x="229"/>
        <item x="134"/>
        <item x="231"/>
        <item x="9"/>
        <item x="124"/>
        <item x="0"/>
        <item x="255"/>
        <item x="105"/>
        <item x="109"/>
        <item x="235"/>
        <item x="49"/>
        <item x="88"/>
        <item x="89"/>
        <item x="156"/>
        <item x="38"/>
        <item x="59"/>
        <item x="129"/>
        <item x="69"/>
        <item x="86"/>
        <item x="39"/>
        <item x="54"/>
        <item x="33"/>
        <item x="4"/>
        <item x="213"/>
        <item x="114"/>
        <item x="58"/>
        <item x="241"/>
        <item x="159"/>
        <item x="183"/>
        <item x="192"/>
        <item x="136"/>
        <item x="191"/>
        <item x="138"/>
        <item x="270"/>
        <item x="130"/>
        <item x="75"/>
        <item x="50"/>
        <item x="73"/>
        <item x="12"/>
        <item x="149"/>
        <item x="238"/>
        <item x="3"/>
        <item x="25"/>
        <item x="265"/>
        <item x="145"/>
        <item x="144"/>
        <item x="216"/>
        <item x="98"/>
        <item x="202"/>
        <item x="195"/>
        <item x="42"/>
        <item x="147"/>
        <item x="150"/>
        <item x="268"/>
        <item x="263"/>
        <item x="227"/>
        <item x="108"/>
        <item x="179"/>
        <item x="275"/>
        <item x="157"/>
        <item x="239"/>
        <item x="259"/>
        <item x="236"/>
        <item x="99"/>
        <item x="266"/>
        <item x="220"/>
        <item x="122"/>
        <item x="175"/>
        <item x="78"/>
        <item x="93"/>
        <item x="215"/>
        <item x="15"/>
        <item x="230"/>
        <item x="169"/>
        <item x="146"/>
        <item x="257"/>
        <item x="222"/>
        <item x="127"/>
        <item x="204"/>
        <item x="250"/>
        <item x="160"/>
        <item x="151"/>
        <item x="278"/>
        <item x="152"/>
        <item x="219"/>
        <item x="148"/>
        <item x="51"/>
        <item x="32"/>
        <item x="126"/>
        <item x="198"/>
        <item x="37"/>
        <item x="85"/>
        <item x="189"/>
        <item x="91"/>
        <item x="178"/>
        <item x="96"/>
        <item x="199"/>
        <item x="139"/>
        <item x="225"/>
        <item x="63"/>
        <item x="212"/>
        <item x="217"/>
        <item x="244"/>
        <item x="131"/>
        <item x="137"/>
        <item x="155"/>
        <item x="83"/>
        <item x="65"/>
        <item x="1"/>
        <item x="5"/>
        <item x="188"/>
        <item x="121"/>
        <item x="26"/>
        <item x="45"/>
        <item x="182"/>
        <item x="11"/>
        <item x="41"/>
        <item x="273"/>
        <item x="90"/>
        <item x="100"/>
        <item x="164"/>
        <item x="210"/>
        <item x="174"/>
        <item x="223"/>
        <item x="153"/>
        <item x="132"/>
        <item x="221"/>
        <item x="115"/>
        <item x="261"/>
        <item x="116"/>
        <item x="258"/>
        <item x="232"/>
        <item x="206"/>
        <item x="161"/>
        <item x="251"/>
        <item x="84"/>
        <item x="237"/>
        <item x="47"/>
        <item x="36"/>
        <item x="77"/>
        <item x="27"/>
        <item x="240"/>
        <item x="31"/>
        <item x="185"/>
        <item x="74"/>
        <item x="226"/>
        <item x="95"/>
        <item x="64"/>
        <item x="92"/>
        <item x="48"/>
        <item x="242"/>
        <item t="default"/>
      </items>
    </pivotField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Quantity" fld="18" baseField="0" baseItem="0"/>
    <dataField name="Sum of Revenue" fld="20" baseField="0" baseItem="0"/>
    <dataField name="Sum of Sales" fld="17" baseField="0" baseItem="0"/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4470E-2C4D-4CAF-93E1-AB73B4E78A5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A1:AB12" firstHeaderRow="1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/>
    <pivotField showAll="0"/>
    <pivotField axis="axisRow" showAll="0" measureFilter="1" sortType="descending">
      <items count="133">
        <item x="50"/>
        <item x="103"/>
        <item x="70"/>
        <item x="71"/>
        <item x="98"/>
        <item x="92"/>
        <item x="28"/>
        <item x="76"/>
        <item x="67"/>
        <item x="128"/>
        <item x="32"/>
        <item x="115"/>
        <item x="89"/>
        <item x="42"/>
        <item x="118"/>
        <item x="61"/>
        <item x="29"/>
        <item x="117"/>
        <item x="23"/>
        <item x="63"/>
        <item x="66"/>
        <item x="130"/>
        <item x="31"/>
        <item x="2"/>
        <item x="96"/>
        <item x="126"/>
        <item x="52"/>
        <item x="108"/>
        <item x="21"/>
        <item x="51"/>
        <item x="129"/>
        <item x="56"/>
        <item x="55"/>
        <item x="22"/>
        <item x="12"/>
        <item x="41"/>
        <item x="45"/>
        <item x="95"/>
        <item x="1"/>
        <item x="4"/>
        <item x="38"/>
        <item x="8"/>
        <item x="90"/>
        <item x="17"/>
        <item x="46"/>
        <item x="99"/>
        <item x="127"/>
        <item x="107"/>
        <item x="48"/>
        <item x="79"/>
        <item x="102"/>
        <item x="74"/>
        <item x="122"/>
        <item x="10"/>
        <item x="86"/>
        <item x="94"/>
        <item x="36"/>
        <item x="64"/>
        <item x="19"/>
        <item x="91"/>
        <item x="59"/>
        <item x="69"/>
        <item x="131"/>
        <item x="106"/>
        <item x="83"/>
        <item x="88"/>
        <item x="75"/>
        <item x="93"/>
        <item x="73"/>
        <item x="0"/>
        <item x="113"/>
        <item x="77"/>
        <item x="5"/>
        <item x="78"/>
        <item x="104"/>
        <item x="54"/>
        <item x="11"/>
        <item x="20"/>
        <item x="101"/>
        <item x="85"/>
        <item x="25"/>
        <item x="110"/>
        <item x="100"/>
        <item x="62"/>
        <item x="120"/>
        <item x="124"/>
        <item x="14"/>
        <item x="15"/>
        <item x="44"/>
        <item x="123"/>
        <item x="121"/>
        <item x="119"/>
        <item x="97"/>
        <item x="37"/>
        <item x="82"/>
        <item x="9"/>
        <item x="34"/>
        <item x="111"/>
        <item x="26"/>
        <item x="81"/>
        <item x="47"/>
        <item x="87"/>
        <item x="24"/>
        <item x="35"/>
        <item x="53"/>
        <item x="27"/>
        <item x="72"/>
        <item x="105"/>
        <item x="43"/>
        <item x="60"/>
        <item x="7"/>
        <item x="40"/>
        <item x="58"/>
        <item x="39"/>
        <item x="3"/>
        <item x="112"/>
        <item x="18"/>
        <item x="65"/>
        <item x="57"/>
        <item x="68"/>
        <item x="125"/>
        <item x="16"/>
        <item x="80"/>
        <item x="114"/>
        <item x="30"/>
        <item x="109"/>
        <item x="84"/>
        <item x="116"/>
        <item x="6"/>
        <item x="49"/>
        <item x="13"/>
        <item x="3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9"/>
  </rowFields>
  <rowItems count="11">
    <i>
      <x v="87"/>
    </i>
    <i>
      <x v="4"/>
    </i>
    <i>
      <x v="110"/>
    </i>
    <i>
      <x v="95"/>
    </i>
    <i>
      <x v="60"/>
    </i>
    <i>
      <x v="2"/>
    </i>
    <i>
      <x v="22"/>
    </i>
    <i>
      <x v="114"/>
    </i>
    <i>
      <x v="117"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9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7CD82-B530-4047-8DAF-951E0D82B01D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20:B31" firstHeaderRow="1" firstDataRow="1" firstDataCol="1"/>
  <pivotFields count="25">
    <pivotField showAll="0"/>
    <pivotField showAll="0"/>
    <pivotField numFmtId="14" showAll="0">
      <items count="234">
        <item x="216"/>
        <item x="173"/>
        <item x="223"/>
        <item x="165"/>
        <item x="176"/>
        <item x="68"/>
        <item x="208"/>
        <item x="107"/>
        <item x="127"/>
        <item x="7"/>
        <item x="177"/>
        <item x="218"/>
        <item x="81"/>
        <item x="210"/>
        <item x="122"/>
        <item x="2"/>
        <item x="203"/>
        <item x="225"/>
        <item x="209"/>
        <item x="202"/>
        <item x="105"/>
        <item x="145"/>
        <item x="117"/>
        <item x="71"/>
        <item x="59"/>
        <item x="174"/>
        <item x="97"/>
        <item x="43"/>
        <item x="8"/>
        <item x="58"/>
        <item x="206"/>
        <item x="78"/>
        <item x="60"/>
        <item x="100"/>
        <item x="231"/>
        <item x="114"/>
        <item x="28"/>
        <item x="17"/>
        <item x="99"/>
        <item x="143"/>
        <item x="6"/>
        <item x="120"/>
        <item x="207"/>
        <item x="22"/>
        <item x="135"/>
        <item x="126"/>
        <item x="94"/>
        <item x="98"/>
        <item x="220"/>
        <item x="95"/>
        <item x="74"/>
        <item x="34"/>
        <item x="149"/>
        <item x="153"/>
        <item x="204"/>
        <item x="44"/>
        <item x="18"/>
        <item x="26"/>
        <item x="119"/>
        <item x="205"/>
        <item x="228"/>
        <item x="53"/>
        <item x="52"/>
        <item x="106"/>
        <item x="230"/>
        <item x="171"/>
        <item x="89"/>
        <item x="77"/>
        <item x="226"/>
        <item x="193"/>
        <item x="222"/>
        <item x="104"/>
        <item x="29"/>
        <item x="50"/>
        <item x="170"/>
        <item x="11"/>
        <item x="168"/>
        <item x="92"/>
        <item x="227"/>
        <item x="1"/>
        <item x="66"/>
        <item x="67"/>
        <item x="40"/>
        <item x="162"/>
        <item x="62"/>
        <item x="5"/>
        <item x="21"/>
        <item x="84"/>
        <item x="181"/>
        <item x="158"/>
        <item x="159"/>
        <item x="63"/>
        <item x="160"/>
        <item x="108"/>
        <item x="76"/>
        <item x="154"/>
        <item x="13"/>
        <item x="10"/>
        <item x="87"/>
        <item x="211"/>
        <item x="16"/>
        <item x="51"/>
        <item x="172"/>
        <item x="194"/>
        <item x="138"/>
        <item x="32"/>
        <item x="111"/>
        <item x="133"/>
        <item x="141"/>
        <item x="101"/>
        <item x="103"/>
        <item x="178"/>
        <item x="55"/>
        <item x="185"/>
        <item x="155"/>
        <item x="148"/>
        <item x="23"/>
        <item x="134"/>
        <item x="166"/>
        <item x="0"/>
        <item x="20"/>
        <item x="144"/>
        <item x="213"/>
        <item x="156"/>
        <item x="175"/>
        <item x="65"/>
        <item x="14"/>
        <item x="147"/>
        <item x="184"/>
        <item x="191"/>
        <item x="217"/>
        <item x="38"/>
        <item x="102"/>
        <item x="110"/>
        <item x="137"/>
        <item x="37"/>
        <item x="125"/>
        <item x="82"/>
        <item x="96"/>
        <item x="33"/>
        <item x="24"/>
        <item x="192"/>
        <item x="140"/>
        <item x="118"/>
        <item x="47"/>
        <item x="150"/>
        <item x="115"/>
        <item x="189"/>
        <item x="75"/>
        <item x="42"/>
        <item x="195"/>
        <item x="57"/>
        <item x="56"/>
        <item x="200"/>
        <item x="54"/>
        <item x="64"/>
        <item x="39"/>
        <item x="214"/>
        <item x="4"/>
        <item x="9"/>
        <item x="83"/>
        <item x="19"/>
        <item x="212"/>
        <item x="142"/>
        <item x="93"/>
        <item x="215"/>
        <item x="152"/>
        <item x="224"/>
        <item x="46"/>
        <item x="131"/>
        <item x="112"/>
        <item x="229"/>
        <item x="199"/>
        <item x="79"/>
        <item x="3"/>
        <item x="61"/>
        <item x="182"/>
        <item x="116"/>
        <item x="85"/>
        <item x="196"/>
        <item x="146"/>
        <item x="197"/>
        <item x="86"/>
        <item x="36"/>
        <item x="190"/>
        <item x="70"/>
        <item x="164"/>
        <item x="123"/>
        <item x="69"/>
        <item x="109"/>
        <item x="169"/>
        <item x="187"/>
        <item x="221"/>
        <item x="186"/>
        <item x="180"/>
        <item x="157"/>
        <item x="25"/>
        <item x="136"/>
        <item x="90"/>
        <item x="48"/>
        <item x="15"/>
        <item x="232"/>
        <item x="183"/>
        <item x="113"/>
        <item x="132"/>
        <item x="219"/>
        <item x="91"/>
        <item x="124"/>
        <item x="12"/>
        <item x="139"/>
        <item x="31"/>
        <item x="130"/>
        <item x="201"/>
        <item x="45"/>
        <item x="35"/>
        <item x="80"/>
        <item x="30"/>
        <item x="179"/>
        <item x="161"/>
        <item x="167"/>
        <item x="41"/>
        <item x="163"/>
        <item x="73"/>
        <item x="198"/>
        <item x="129"/>
        <item x="27"/>
        <item x="121"/>
        <item x="72"/>
        <item x="151"/>
        <item x="49"/>
        <item x="128"/>
        <item x="88"/>
        <item x="188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385">
        <item x="290"/>
        <item x="278"/>
        <item x="238"/>
        <item x="131"/>
        <item x="31"/>
        <item x="292"/>
        <item x="305"/>
        <item x="163"/>
        <item x="298"/>
        <item x="351"/>
        <item x="156"/>
        <item x="172"/>
        <item x="111"/>
        <item x="54"/>
        <item x="53"/>
        <item x="328"/>
        <item x="225"/>
        <item x="346"/>
        <item x="216"/>
        <item x="314"/>
        <item x="5"/>
        <item x="360"/>
        <item x="201"/>
        <item x="365"/>
        <item x="212"/>
        <item x="132"/>
        <item x="77"/>
        <item x="36"/>
        <item x="165"/>
        <item x="198"/>
        <item x="377"/>
        <item x="68"/>
        <item x="94"/>
        <item x="75"/>
        <item x="102"/>
        <item x="256"/>
        <item x="85"/>
        <item x="223"/>
        <item x="222"/>
        <item x="287"/>
        <item x="235"/>
        <item x="306"/>
        <item x="311"/>
        <item x="382"/>
        <item x="90"/>
        <item x="186"/>
        <item x="78"/>
        <item x="232"/>
        <item x="220"/>
        <item x="136"/>
        <item x="117"/>
        <item x="219"/>
        <item x="325"/>
        <item x="25"/>
        <item x="96"/>
        <item x="12"/>
        <item x="179"/>
        <item x="209"/>
        <item x="15"/>
        <item x="195"/>
        <item x="227"/>
        <item x="267"/>
        <item x="281"/>
        <item x="126"/>
        <item x="264"/>
        <item x="162"/>
        <item x="61"/>
        <item x="138"/>
        <item x="69"/>
        <item x="52"/>
        <item x="210"/>
        <item x="182"/>
        <item x="324"/>
        <item x="331"/>
        <item x="57"/>
        <item x="74"/>
        <item x="356"/>
        <item x="164"/>
        <item x="276"/>
        <item x="322"/>
        <item x="121"/>
        <item x="289"/>
        <item x="91"/>
        <item x="108"/>
        <item x="40"/>
        <item x="214"/>
        <item x="9"/>
        <item x="262"/>
        <item x="266"/>
        <item x="8"/>
        <item x="180"/>
        <item x="282"/>
        <item x="76"/>
        <item x="196"/>
        <item x="218"/>
        <item x="95"/>
        <item x="127"/>
        <item x="206"/>
        <item x="98"/>
        <item x="334"/>
        <item x="205"/>
        <item x="118"/>
        <item x="89"/>
        <item x="339"/>
        <item x="47"/>
        <item x="38"/>
        <item x="383"/>
        <item x="43"/>
        <item x="221"/>
        <item x="0"/>
        <item x="86"/>
        <item x="294"/>
        <item x="128"/>
        <item x="99"/>
        <item x="107"/>
        <item x="79"/>
        <item x="133"/>
        <item x="41"/>
        <item x="49"/>
        <item x="140"/>
        <item x="145"/>
        <item x="253"/>
        <item x="176"/>
        <item x="155"/>
        <item x="268"/>
        <item x="129"/>
        <item x="67"/>
        <item x="300"/>
        <item x="303"/>
        <item x="146"/>
        <item x="345"/>
        <item x="316"/>
        <item x="255"/>
        <item x="357"/>
        <item x="143"/>
        <item x="315"/>
        <item x="148"/>
        <item x="116"/>
        <item x="46"/>
        <item x="323"/>
        <item x="283"/>
        <item x="249"/>
        <item x="158"/>
        <item x="34"/>
        <item x="257"/>
        <item x="151"/>
        <item x="17"/>
        <item x="248"/>
        <item x="33"/>
        <item x="197"/>
        <item x="361"/>
        <item x="110"/>
        <item x="270"/>
        <item x="296"/>
        <item x="66"/>
        <item x="125"/>
        <item x="183"/>
        <item x="174"/>
        <item x="63"/>
        <item x="167"/>
        <item x="240"/>
        <item x="269"/>
        <item x="83"/>
        <item x="244"/>
        <item x="11"/>
        <item x="194"/>
        <item x="299"/>
        <item x="337"/>
        <item x="150"/>
        <item x="272"/>
        <item x="200"/>
        <item x="2"/>
        <item x="13"/>
        <item x="273"/>
        <item x="184"/>
        <item x="307"/>
        <item x="92"/>
        <item x="319"/>
        <item x="302"/>
        <item x="280"/>
        <item x="359"/>
        <item x="20"/>
        <item x="233"/>
        <item x="100"/>
        <item x="103"/>
        <item x="338"/>
        <item x="48"/>
        <item x="234"/>
        <item x="80"/>
        <item x="55"/>
        <item x="178"/>
        <item x="161"/>
        <item x="341"/>
        <item x="64"/>
        <item x="37"/>
        <item x="310"/>
        <item x="340"/>
        <item x="318"/>
        <item x="135"/>
        <item x="30"/>
        <item x="7"/>
        <item x="202"/>
        <item x="379"/>
        <item x="275"/>
        <item x="26"/>
        <item x="123"/>
        <item x="72"/>
        <item x="81"/>
        <item x="297"/>
        <item x="229"/>
        <item x="157"/>
        <item x="204"/>
        <item x="265"/>
        <item x="364"/>
        <item x="231"/>
        <item x="87"/>
        <item x="293"/>
        <item x="177"/>
        <item x="350"/>
        <item x="374"/>
        <item x="130"/>
        <item x="367"/>
        <item x="188"/>
        <item x="70"/>
        <item x="168"/>
        <item x="56"/>
        <item x="82"/>
        <item x="366"/>
        <item x="175"/>
        <item x="199"/>
        <item x="308"/>
        <item x="10"/>
        <item x="258"/>
        <item x="372"/>
        <item x="250"/>
        <item x="137"/>
        <item x="271"/>
        <item x="6"/>
        <item x="260"/>
        <item x="343"/>
        <item x="58"/>
        <item x="236"/>
        <item x="241"/>
        <item x="352"/>
        <item x="170"/>
        <item x="329"/>
        <item x="285"/>
        <item x="120"/>
        <item x="142"/>
        <item x="153"/>
        <item x="51"/>
        <item x="237"/>
        <item x="279"/>
        <item x="1"/>
        <item x="23"/>
        <item x="326"/>
        <item x="42"/>
        <item x="252"/>
        <item x="21"/>
        <item x="3"/>
        <item x="304"/>
        <item x="190"/>
        <item x="376"/>
        <item x="230"/>
        <item x="245"/>
        <item x="254"/>
        <item x="115"/>
        <item x="207"/>
        <item x="228"/>
        <item x="84"/>
        <item x="215"/>
        <item x="71"/>
        <item x="261"/>
        <item x="27"/>
        <item x="263"/>
        <item x="277"/>
        <item x="317"/>
        <item x="284"/>
        <item x="251"/>
        <item x="355"/>
        <item x="373"/>
        <item x="378"/>
        <item x="224"/>
        <item x="370"/>
        <item x="119"/>
        <item x="173"/>
        <item x="18"/>
        <item x="169"/>
        <item x="375"/>
        <item x="242"/>
        <item x="354"/>
        <item x="114"/>
        <item x="349"/>
        <item x="113"/>
        <item x="185"/>
        <item x="97"/>
        <item x="320"/>
        <item x="330"/>
        <item x="4"/>
        <item x="192"/>
        <item x="88"/>
        <item x="139"/>
        <item x="144"/>
        <item x="62"/>
        <item x="16"/>
        <item x="286"/>
        <item x="166"/>
        <item x="109"/>
        <item x="59"/>
        <item x="181"/>
        <item x="217"/>
        <item x="60"/>
        <item x="45"/>
        <item x="342"/>
        <item x="73"/>
        <item x="332"/>
        <item x="65"/>
        <item x="368"/>
        <item x="39"/>
        <item x="193"/>
        <item x="239"/>
        <item x="93"/>
        <item x="344"/>
        <item x="160"/>
        <item x="50"/>
        <item x="104"/>
        <item x="171"/>
        <item x="363"/>
        <item x="124"/>
        <item x="381"/>
        <item x="313"/>
        <item x="347"/>
        <item x="154"/>
        <item x="28"/>
        <item x="327"/>
        <item x="369"/>
        <item x="291"/>
        <item x="348"/>
        <item x="32"/>
        <item x="312"/>
        <item x="208"/>
        <item x="149"/>
        <item x="226"/>
        <item x="259"/>
        <item x="295"/>
        <item x="203"/>
        <item x="333"/>
        <item x="288"/>
        <item x="159"/>
        <item x="274"/>
        <item x="122"/>
        <item x="29"/>
        <item x="24"/>
        <item x="147"/>
        <item x="152"/>
        <item x="134"/>
        <item x="336"/>
        <item x="101"/>
        <item x="191"/>
        <item x="301"/>
        <item x="335"/>
        <item x="309"/>
        <item x="358"/>
        <item x="106"/>
        <item x="213"/>
        <item x="362"/>
        <item x="14"/>
        <item x="380"/>
        <item x="35"/>
        <item x="321"/>
        <item x="19"/>
        <item x="187"/>
        <item x="247"/>
        <item x="105"/>
        <item x="141"/>
        <item x="243"/>
        <item x="112"/>
        <item x="371"/>
        <item x="246"/>
        <item x="211"/>
        <item x="44"/>
        <item x="22"/>
        <item x="189"/>
        <item x="3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6"/>
  </rowFields>
  <rowItems count="11">
    <i>
      <x v="236"/>
    </i>
    <i>
      <x v="222"/>
    </i>
    <i>
      <x v="198"/>
    </i>
    <i>
      <x v="238"/>
    </i>
    <i>
      <x v="81"/>
    </i>
    <i>
      <x v="195"/>
    </i>
    <i>
      <x v="78"/>
    </i>
    <i>
      <x v="194"/>
    </i>
    <i>
      <x v="77"/>
    </i>
    <i>
      <x v="14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CC4DE-8542-45A2-B20A-26417AC66CAD}">
  <dimension ref="A1:V478"/>
  <sheetViews>
    <sheetView tabSelected="1" workbookViewId="0">
      <selection activeCell="O3" sqref="O3"/>
    </sheetView>
  </sheetViews>
  <sheetFormatPr defaultRowHeight="14.5" x14ac:dyDescent="0.35"/>
  <cols>
    <col min="3" max="4" width="11.1796875" bestFit="1" customWidth="1"/>
  </cols>
  <sheetData>
    <row r="1" spans="1:22" ht="15.5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</row>
    <row r="2" spans="1:22" ht="15.5" x14ac:dyDescent="0.35">
      <c r="A2" s="4">
        <v>3</v>
      </c>
      <c r="B2" s="5" t="s">
        <v>22</v>
      </c>
      <c r="C2" s="6">
        <v>43994</v>
      </c>
      <c r="D2" s="6">
        <v>43998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>
        <v>90036</v>
      </c>
      <c r="M2" s="5" t="s">
        <v>30</v>
      </c>
      <c r="N2" s="5" t="s">
        <v>31</v>
      </c>
      <c r="O2" s="5" t="s">
        <v>32</v>
      </c>
      <c r="P2" s="5" t="s">
        <v>33</v>
      </c>
      <c r="Q2" s="5" t="s">
        <v>34</v>
      </c>
      <c r="R2" s="5">
        <v>14.62</v>
      </c>
      <c r="S2" s="5">
        <v>2</v>
      </c>
      <c r="T2" s="5">
        <v>0</v>
      </c>
      <c r="U2" s="5">
        <v>29.24</v>
      </c>
      <c r="V2" s="7">
        <v>6.8713999999999995</v>
      </c>
    </row>
    <row r="3" spans="1:22" ht="15.5" x14ac:dyDescent="0.35">
      <c r="A3" s="8">
        <v>5</v>
      </c>
      <c r="B3" s="9" t="s">
        <v>35</v>
      </c>
      <c r="C3" s="10">
        <v>43749</v>
      </c>
      <c r="D3" s="10">
        <v>43756</v>
      </c>
      <c r="E3" s="9" t="s">
        <v>36</v>
      </c>
      <c r="F3" s="9" t="s">
        <v>37</v>
      </c>
      <c r="G3" s="9" t="s">
        <v>38</v>
      </c>
      <c r="H3" s="9" t="s">
        <v>39</v>
      </c>
      <c r="I3" s="9" t="s">
        <v>27</v>
      </c>
      <c r="J3" s="9" t="s">
        <v>40</v>
      </c>
      <c r="K3" s="9" t="s">
        <v>41</v>
      </c>
      <c r="L3" s="9">
        <v>33311</v>
      </c>
      <c r="M3" s="9" t="s">
        <v>42</v>
      </c>
      <c r="N3" s="9" t="s">
        <v>43</v>
      </c>
      <c r="O3" s="9" t="s">
        <v>32</v>
      </c>
      <c r="P3" s="9" t="s">
        <v>44</v>
      </c>
      <c r="Q3" s="9" t="s">
        <v>45</v>
      </c>
      <c r="R3" s="9">
        <v>22.368000000000002</v>
      </c>
      <c r="S3" s="9">
        <v>2</v>
      </c>
      <c r="T3" s="9">
        <v>0.2</v>
      </c>
      <c r="U3" s="9">
        <v>35.788800000000002</v>
      </c>
      <c r="V3" s="11">
        <v>2.5163999999999991</v>
      </c>
    </row>
    <row r="4" spans="1:22" ht="15.5" x14ac:dyDescent="0.35">
      <c r="A4" s="4">
        <v>7</v>
      </c>
      <c r="B4" s="5" t="s">
        <v>46</v>
      </c>
      <c r="C4" s="6">
        <v>43260</v>
      </c>
      <c r="D4" s="6">
        <v>43265</v>
      </c>
      <c r="E4" s="5" t="s">
        <v>36</v>
      </c>
      <c r="F4" s="5" t="s">
        <v>47</v>
      </c>
      <c r="G4" s="5" t="s">
        <v>48</v>
      </c>
      <c r="H4" s="5" t="s">
        <v>39</v>
      </c>
      <c r="I4" s="5" t="s">
        <v>27</v>
      </c>
      <c r="J4" s="5" t="s">
        <v>28</v>
      </c>
      <c r="K4" s="5" t="s">
        <v>29</v>
      </c>
      <c r="L4" s="5">
        <v>90032</v>
      </c>
      <c r="M4" s="5" t="s">
        <v>30</v>
      </c>
      <c r="N4" s="5" t="s">
        <v>49</v>
      </c>
      <c r="O4" s="5" t="s">
        <v>32</v>
      </c>
      <c r="P4" s="5" t="s">
        <v>50</v>
      </c>
      <c r="Q4" s="5" t="s">
        <v>51</v>
      </c>
      <c r="R4" s="5">
        <v>7.28</v>
      </c>
      <c r="S4" s="5">
        <v>4</v>
      </c>
      <c r="T4" s="5">
        <v>0</v>
      </c>
      <c r="U4" s="5">
        <v>29.12</v>
      </c>
      <c r="V4" s="7">
        <v>1.9656000000000002</v>
      </c>
    </row>
    <row r="5" spans="1:22" ht="15.5" x14ac:dyDescent="0.35">
      <c r="A5" s="8">
        <v>9</v>
      </c>
      <c r="B5" s="9" t="s">
        <v>46</v>
      </c>
      <c r="C5" s="10">
        <v>43260</v>
      </c>
      <c r="D5" s="10">
        <v>43265</v>
      </c>
      <c r="E5" s="9" t="s">
        <v>36</v>
      </c>
      <c r="F5" s="9" t="s">
        <v>47</v>
      </c>
      <c r="G5" s="9" t="s">
        <v>48</v>
      </c>
      <c r="H5" s="9" t="s">
        <v>39</v>
      </c>
      <c r="I5" s="9" t="s">
        <v>27</v>
      </c>
      <c r="J5" s="9" t="s">
        <v>28</v>
      </c>
      <c r="K5" s="9" t="s">
        <v>29</v>
      </c>
      <c r="L5" s="9">
        <v>90032</v>
      </c>
      <c r="M5" s="9" t="s">
        <v>30</v>
      </c>
      <c r="N5" s="9" t="s">
        <v>52</v>
      </c>
      <c r="O5" s="9" t="s">
        <v>32</v>
      </c>
      <c r="P5" s="9" t="s">
        <v>53</v>
      </c>
      <c r="Q5" s="9" t="s">
        <v>54</v>
      </c>
      <c r="R5" s="9">
        <v>18.504000000000001</v>
      </c>
      <c r="S5" s="9">
        <v>3</v>
      </c>
      <c r="T5" s="9">
        <v>0.2</v>
      </c>
      <c r="U5" s="9">
        <v>44.409599999999998</v>
      </c>
      <c r="V5" s="11">
        <v>5.7824999999999998</v>
      </c>
    </row>
    <row r="6" spans="1:22" ht="15.5" x14ac:dyDescent="0.35">
      <c r="A6" s="4">
        <v>10</v>
      </c>
      <c r="B6" s="5" t="s">
        <v>46</v>
      </c>
      <c r="C6" s="6">
        <v>43260</v>
      </c>
      <c r="D6" s="6">
        <v>43265</v>
      </c>
      <c r="E6" s="5" t="s">
        <v>36</v>
      </c>
      <c r="F6" s="5" t="s">
        <v>47</v>
      </c>
      <c r="G6" s="5" t="s">
        <v>48</v>
      </c>
      <c r="H6" s="5" t="s">
        <v>39</v>
      </c>
      <c r="I6" s="5" t="s">
        <v>27</v>
      </c>
      <c r="J6" s="5" t="s">
        <v>28</v>
      </c>
      <c r="K6" s="5" t="s">
        <v>29</v>
      </c>
      <c r="L6" s="5">
        <v>90032</v>
      </c>
      <c r="M6" s="5" t="s">
        <v>30</v>
      </c>
      <c r="N6" s="5" t="s">
        <v>55</v>
      </c>
      <c r="O6" s="5" t="s">
        <v>32</v>
      </c>
      <c r="P6" s="5" t="s">
        <v>56</v>
      </c>
      <c r="Q6" s="5" t="s">
        <v>57</v>
      </c>
      <c r="R6" s="5">
        <v>114.9</v>
      </c>
      <c r="S6" s="5">
        <v>5</v>
      </c>
      <c r="T6" s="5">
        <v>0</v>
      </c>
      <c r="U6" s="5">
        <v>574.5</v>
      </c>
      <c r="V6" s="7">
        <v>34.469999999999992</v>
      </c>
    </row>
    <row r="7" spans="1:22" ht="15.5" x14ac:dyDescent="0.35">
      <c r="A7" s="8">
        <v>13</v>
      </c>
      <c r="B7" s="9" t="s">
        <v>58</v>
      </c>
      <c r="C7" s="10">
        <v>44301</v>
      </c>
      <c r="D7" s="10">
        <v>44306</v>
      </c>
      <c r="E7" s="9" t="s">
        <v>36</v>
      </c>
      <c r="F7" s="9" t="s">
        <v>59</v>
      </c>
      <c r="G7" s="9" t="s">
        <v>60</v>
      </c>
      <c r="H7" s="9" t="s">
        <v>39</v>
      </c>
      <c r="I7" s="9" t="s">
        <v>27</v>
      </c>
      <c r="J7" s="9" t="s">
        <v>61</v>
      </c>
      <c r="K7" s="9" t="s">
        <v>62</v>
      </c>
      <c r="L7" s="9">
        <v>28027</v>
      </c>
      <c r="M7" s="9" t="s">
        <v>42</v>
      </c>
      <c r="N7" s="9" t="s">
        <v>63</v>
      </c>
      <c r="O7" s="9" t="s">
        <v>32</v>
      </c>
      <c r="P7" s="9" t="s">
        <v>64</v>
      </c>
      <c r="Q7" s="9" t="s">
        <v>65</v>
      </c>
      <c r="R7" s="9">
        <v>15.552000000000003</v>
      </c>
      <c r="S7" s="9">
        <v>3</v>
      </c>
      <c r="T7" s="9">
        <v>0.2</v>
      </c>
      <c r="U7" s="9">
        <v>37.324800000000003</v>
      </c>
      <c r="V7" s="11">
        <v>5.4432</v>
      </c>
    </row>
    <row r="8" spans="1:22" ht="15.5" x14ac:dyDescent="0.35">
      <c r="A8" s="4">
        <v>14</v>
      </c>
      <c r="B8" s="5" t="s">
        <v>66</v>
      </c>
      <c r="C8" s="6">
        <v>44170</v>
      </c>
      <c r="D8" s="6">
        <v>44175</v>
      </c>
      <c r="E8" s="5" t="s">
        <v>36</v>
      </c>
      <c r="F8" s="5" t="s">
        <v>67</v>
      </c>
      <c r="G8" s="5" t="s">
        <v>68</v>
      </c>
      <c r="H8" s="5" t="s">
        <v>39</v>
      </c>
      <c r="I8" s="5" t="s">
        <v>27</v>
      </c>
      <c r="J8" s="5" t="s">
        <v>69</v>
      </c>
      <c r="K8" s="5" t="s">
        <v>70</v>
      </c>
      <c r="L8" s="5">
        <v>98103</v>
      </c>
      <c r="M8" s="5" t="s">
        <v>30</v>
      </c>
      <c r="N8" s="5" t="s">
        <v>71</v>
      </c>
      <c r="O8" s="5" t="s">
        <v>32</v>
      </c>
      <c r="P8" s="5" t="s">
        <v>53</v>
      </c>
      <c r="Q8" s="5" t="s">
        <v>72</v>
      </c>
      <c r="R8" s="5">
        <v>407.97600000000006</v>
      </c>
      <c r="S8" s="5">
        <v>3</v>
      </c>
      <c r="T8" s="5">
        <v>0.2</v>
      </c>
      <c r="U8" s="5">
        <v>979.14240000000007</v>
      </c>
      <c r="V8" s="7">
        <v>132.59219999999993</v>
      </c>
    </row>
    <row r="9" spans="1:22" ht="15.5" x14ac:dyDescent="0.35">
      <c r="A9" s="8">
        <v>15</v>
      </c>
      <c r="B9" s="9" t="s">
        <v>73</v>
      </c>
      <c r="C9" s="10">
        <v>43791</v>
      </c>
      <c r="D9" s="10">
        <v>43795</v>
      </c>
      <c r="E9" s="9" t="s">
        <v>36</v>
      </c>
      <c r="F9" s="9" t="s">
        <v>74</v>
      </c>
      <c r="G9" s="9" t="s">
        <v>75</v>
      </c>
      <c r="H9" s="9" t="s">
        <v>76</v>
      </c>
      <c r="I9" s="9" t="s">
        <v>27</v>
      </c>
      <c r="J9" s="9" t="s">
        <v>77</v>
      </c>
      <c r="K9" s="9" t="s">
        <v>78</v>
      </c>
      <c r="L9" s="9">
        <v>76106</v>
      </c>
      <c r="M9" s="9" t="s">
        <v>79</v>
      </c>
      <c r="N9" s="9" t="s">
        <v>80</v>
      </c>
      <c r="O9" s="9" t="s">
        <v>32</v>
      </c>
      <c r="P9" s="9" t="s">
        <v>56</v>
      </c>
      <c r="Q9" s="9" t="s">
        <v>81</v>
      </c>
      <c r="R9" s="9">
        <v>68.809999999999988</v>
      </c>
      <c r="S9" s="9">
        <v>5</v>
      </c>
      <c r="T9" s="9">
        <v>0.8</v>
      </c>
      <c r="U9" s="9">
        <v>68.81</v>
      </c>
      <c r="V9" s="11">
        <v>-123.858</v>
      </c>
    </row>
    <row r="10" spans="1:22" ht="15.5" x14ac:dyDescent="0.35">
      <c r="A10" s="4">
        <v>16</v>
      </c>
      <c r="B10" s="5" t="s">
        <v>73</v>
      </c>
      <c r="C10" s="6">
        <v>43791</v>
      </c>
      <c r="D10" s="6">
        <v>43795</v>
      </c>
      <c r="E10" s="5" t="s">
        <v>36</v>
      </c>
      <c r="F10" s="5" t="s">
        <v>74</v>
      </c>
      <c r="G10" s="5" t="s">
        <v>75</v>
      </c>
      <c r="H10" s="5" t="s">
        <v>76</v>
      </c>
      <c r="I10" s="5" t="s">
        <v>27</v>
      </c>
      <c r="J10" s="5" t="s">
        <v>77</v>
      </c>
      <c r="K10" s="5" t="s">
        <v>78</v>
      </c>
      <c r="L10" s="5">
        <v>76106</v>
      </c>
      <c r="M10" s="5" t="s">
        <v>79</v>
      </c>
      <c r="N10" s="5" t="s">
        <v>82</v>
      </c>
      <c r="O10" s="5" t="s">
        <v>32</v>
      </c>
      <c r="P10" s="5" t="s">
        <v>53</v>
      </c>
      <c r="Q10" s="5" t="s">
        <v>83</v>
      </c>
      <c r="R10" s="5">
        <v>2.5439999999999996</v>
      </c>
      <c r="S10" s="5">
        <v>3</v>
      </c>
      <c r="T10" s="5">
        <v>0.8</v>
      </c>
      <c r="U10" s="5">
        <v>1.5263999999999998</v>
      </c>
      <c r="V10" s="7">
        <v>-3.8160000000000016</v>
      </c>
    </row>
    <row r="11" spans="1:22" ht="15.5" x14ac:dyDescent="0.35">
      <c r="A11" s="8">
        <v>17</v>
      </c>
      <c r="B11" s="9" t="s">
        <v>84</v>
      </c>
      <c r="C11" s="10">
        <v>43415</v>
      </c>
      <c r="D11" s="10">
        <v>43422</v>
      </c>
      <c r="E11" s="9" t="s">
        <v>36</v>
      </c>
      <c r="F11" s="9" t="s">
        <v>85</v>
      </c>
      <c r="G11" s="9" t="s">
        <v>86</v>
      </c>
      <c r="H11" s="9" t="s">
        <v>39</v>
      </c>
      <c r="I11" s="9" t="s">
        <v>27</v>
      </c>
      <c r="J11" s="9" t="s">
        <v>87</v>
      </c>
      <c r="K11" s="9" t="s">
        <v>88</v>
      </c>
      <c r="L11" s="9">
        <v>53711</v>
      </c>
      <c r="M11" s="9" t="s">
        <v>79</v>
      </c>
      <c r="N11" s="9" t="s">
        <v>89</v>
      </c>
      <c r="O11" s="9" t="s">
        <v>32</v>
      </c>
      <c r="P11" s="9" t="s">
        <v>44</v>
      </c>
      <c r="Q11" s="9" t="s">
        <v>90</v>
      </c>
      <c r="R11" s="9">
        <v>665.88</v>
      </c>
      <c r="S11" s="9">
        <v>6</v>
      </c>
      <c r="T11" s="9">
        <v>0</v>
      </c>
      <c r="U11" s="9">
        <v>3995.2799999999997</v>
      </c>
      <c r="V11" s="11">
        <v>13.317599999999999</v>
      </c>
    </row>
    <row r="12" spans="1:22" ht="15.5" x14ac:dyDescent="0.35">
      <c r="A12" s="4">
        <v>18</v>
      </c>
      <c r="B12" s="5" t="s">
        <v>91</v>
      </c>
      <c r="C12" s="6">
        <v>43233</v>
      </c>
      <c r="D12" s="6">
        <v>43235</v>
      </c>
      <c r="E12" s="5" t="s">
        <v>23</v>
      </c>
      <c r="F12" s="5" t="s">
        <v>92</v>
      </c>
      <c r="G12" s="5" t="s">
        <v>93</v>
      </c>
      <c r="H12" s="5" t="s">
        <v>39</v>
      </c>
      <c r="I12" s="5" t="s">
        <v>27</v>
      </c>
      <c r="J12" s="5" t="s">
        <v>94</v>
      </c>
      <c r="K12" s="5" t="s">
        <v>95</v>
      </c>
      <c r="L12" s="5">
        <v>84084</v>
      </c>
      <c r="M12" s="5" t="s">
        <v>30</v>
      </c>
      <c r="N12" s="5" t="s">
        <v>96</v>
      </c>
      <c r="O12" s="5" t="s">
        <v>32</v>
      </c>
      <c r="P12" s="5" t="s">
        <v>44</v>
      </c>
      <c r="Q12" s="5" t="s">
        <v>97</v>
      </c>
      <c r="R12" s="5">
        <v>55.5</v>
      </c>
      <c r="S12" s="5">
        <v>2</v>
      </c>
      <c r="T12" s="5">
        <v>0</v>
      </c>
      <c r="U12" s="5">
        <v>111</v>
      </c>
      <c r="V12" s="7">
        <v>9.9899999999999949</v>
      </c>
    </row>
    <row r="13" spans="1:22" ht="15.5" x14ac:dyDescent="0.35">
      <c r="A13" s="8">
        <v>19</v>
      </c>
      <c r="B13" s="9" t="s">
        <v>98</v>
      </c>
      <c r="C13" s="10">
        <v>43339</v>
      </c>
      <c r="D13" s="10">
        <v>43344</v>
      </c>
      <c r="E13" s="9" t="s">
        <v>23</v>
      </c>
      <c r="F13" s="9" t="s">
        <v>99</v>
      </c>
      <c r="G13" s="9" t="s">
        <v>100</v>
      </c>
      <c r="H13" s="9" t="s">
        <v>39</v>
      </c>
      <c r="I13" s="9" t="s">
        <v>27</v>
      </c>
      <c r="J13" s="9" t="s">
        <v>101</v>
      </c>
      <c r="K13" s="9" t="s">
        <v>29</v>
      </c>
      <c r="L13" s="9">
        <v>94109</v>
      </c>
      <c r="M13" s="9" t="s">
        <v>30</v>
      </c>
      <c r="N13" s="9" t="s">
        <v>102</v>
      </c>
      <c r="O13" s="9" t="s">
        <v>32</v>
      </c>
      <c r="P13" s="9" t="s">
        <v>50</v>
      </c>
      <c r="Q13" s="9" t="s">
        <v>103</v>
      </c>
      <c r="R13" s="9">
        <v>8.56</v>
      </c>
      <c r="S13" s="9">
        <v>2</v>
      </c>
      <c r="T13" s="9">
        <v>0</v>
      </c>
      <c r="U13" s="9">
        <v>17.12</v>
      </c>
      <c r="V13" s="11">
        <v>2.4823999999999993</v>
      </c>
    </row>
    <row r="14" spans="1:22" ht="15.5" x14ac:dyDescent="0.35">
      <c r="A14" s="4">
        <v>21</v>
      </c>
      <c r="B14" s="5" t="s">
        <v>98</v>
      </c>
      <c r="C14" s="6">
        <v>43339</v>
      </c>
      <c r="D14" s="6">
        <v>43344</v>
      </c>
      <c r="E14" s="5" t="s">
        <v>23</v>
      </c>
      <c r="F14" s="5" t="s">
        <v>99</v>
      </c>
      <c r="G14" s="5" t="s">
        <v>100</v>
      </c>
      <c r="H14" s="5" t="s">
        <v>39</v>
      </c>
      <c r="I14" s="5" t="s">
        <v>27</v>
      </c>
      <c r="J14" s="5" t="s">
        <v>101</v>
      </c>
      <c r="K14" s="5" t="s">
        <v>29</v>
      </c>
      <c r="L14" s="5">
        <v>94109</v>
      </c>
      <c r="M14" s="5" t="s">
        <v>30</v>
      </c>
      <c r="N14" s="5" t="s">
        <v>104</v>
      </c>
      <c r="O14" s="5" t="s">
        <v>32</v>
      </c>
      <c r="P14" s="5" t="s">
        <v>53</v>
      </c>
      <c r="Q14" s="5" t="s">
        <v>105</v>
      </c>
      <c r="R14" s="5">
        <v>22.72</v>
      </c>
      <c r="S14" s="5">
        <v>4</v>
      </c>
      <c r="T14" s="5">
        <v>0.2</v>
      </c>
      <c r="U14" s="5">
        <v>72.703999999999994</v>
      </c>
      <c r="V14" s="7">
        <v>7.3839999999999986</v>
      </c>
    </row>
    <row r="15" spans="1:22" ht="15.5" x14ac:dyDescent="0.35">
      <c r="A15" s="8">
        <v>22</v>
      </c>
      <c r="B15" s="9" t="s">
        <v>106</v>
      </c>
      <c r="C15" s="10">
        <v>44174</v>
      </c>
      <c r="D15" s="10">
        <v>44178</v>
      </c>
      <c r="E15" s="9" t="s">
        <v>36</v>
      </c>
      <c r="F15" s="9" t="s">
        <v>107</v>
      </c>
      <c r="G15" s="9" t="s">
        <v>108</v>
      </c>
      <c r="H15" s="9" t="s">
        <v>26</v>
      </c>
      <c r="I15" s="9" t="s">
        <v>27</v>
      </c>
      <c r="J15" s="9" t="s">
        <v>109</v>
      </c>
      <c r="K15" s="9" t="s">
        <v>110</v>
      </c>
      <c r="L15" s="9">
        <v>68025</v>
      </c>
      <c r="M15" s="9" t="s">
        <v>79</v>
      </c>
      <c r="N15" s="9" t="s">
        <v>111</v>
      </c>
      <c r="O15" s="9" t="s">
        <v>32</v>
      </c>
      <c r="P15" s="9" t="s">
        <v>50</v>
      </c>
      <c r="Q15" s="9" t="s">
        <v>112</v>
      </c>
      <c r="R15" s="9">
        <v>19.459999999999997</v>
      </c>
      <c r="S15" s="9">
        <v>7</v>
      </c>
      <c r="T15" s="9">
        <v>0</v>
      </c>
      <c r="U15" s="9">
        <v>136.21999999999997</v>
      </c>
      <c r="V15" s="11">
        <v>5.0595999999999997</v>
      </c>
    </row>
    <row r="16" spans="1:22" ht="15.5" x14ac:dyDescent="0.35">
      <c r="A16" s="4">
        <v>23</v>
      </c>
      <c r="B16" s="5" t="s">
        <v>106</v>
      </c>
      <c r="C16" s="6">
        <v>44174</v>
      </c>
      <c r="D16" s="6">
        <v>44178</v>
      </c>
      <c r="E16" s="5" t="s">
        <v>36</v>
      </c>
      <c r="F16" s="5" t="s">
        <v>107</v>
      </c>
      <c r="G16" s="5" t="s">
        <v>108</v>
      </c>
      <c r="H16" s="5" t="s">
        <v>26</v>
      </c>
      <c r="I16" s="5" t="s">
        <v>27</v>
      </c>
      <c r="J16" s="5" t="s">
        <v>109</v>
      </c>
      <c r="K16" s="5" t="s">
        <v>110</v>
      </c>
      <c r="L16" s="5">
        <v>68025</v>
      </c>
      <c r="M16" s="5" t="s">
        <v>79</v>
      </c>
      <c r="N16" s="5" t="s">
        <v>113</v>
      </c>
      <c r="O16" s="5" t="s">
        <v>32</v>
      </c>
      <c r="P16" s="5" t="s">
        <v>56</v>
      </c>
      <c r="Q16" s="5" t="s">
        <v>114</v>
      </c>
      <c r="R16" s="5">
        <v>60.339999999999996</v>
      </c>
      <c r="S16" s="5">
        <v>7</v>
      </c>
      <c r="T16" s="5">
        <v>0</v>
      </c>
      <c r="U16" s="5">
        <v>422.38</v>
      </c>
      <c r="V16" s="7">
        <v>15.688400000000001</v>
      </c>
    </row>
    <row r="17" spans="1:22" ht="15.5" x14ac:dyDescent="0.35">
      <c r="A17" s="8">
        <v>26</v>
      </c>
      <c r="B17" s="9" t="s">
        <v>115</v>
      </c>
      <c r="C17" s="10">
        <v>43846</v>
      </c>
      <c r="D17" s="10">
        <v>43850</v>
      </c>
      <c r="E17" s="9" t="s">
        <v>23</v>
      </c>
      <c r="F17" s="9" t="s">
        <v>116</v>
      </c>
      <c r="G17" s="9" t="s">
        <v>117</v>
      </c>
      <c r="H17" s="9" t="s">
        <v>39</v>
      </c>
      <c r="I17" s="9" t="s">
        <v>27</v>
      </c>
      <c r="J17" s="9" t="s">
        <v>28</v>
      </c>
      <c r="K17" s="9" t="s">
        <v>29</v>
      </c>
      <c r="L17" s="9">
        <v>90049</v>
      </c>
      <c r="M17" s="9" t="s">
        <v>30</v>
      </c>
      <c r="N17" s="9" t="s">
        <v>118</v>
      </c>
      <c r="O17" s="9" t="s">
        <v>32</v>
      </c>
      <c r="P17" s="9" t="s">
        <v>53</v>
      </c>
      <c r="Q17" s="9" t="s">
        <v>119</v>
      </c>
      <c r="R17" s="9">
        <v>11.648000000000001</v>
      </c>
      <c r="S17" s="9">
        <v>2</v>
      </c>
      <c r="T17" s="9">
        <v>0.2</v>
      </c>
      <c r="U17" s="9">
        <v>18.636800000000001</v>
      </c>
      <c r="V17" s="11">
        <v>4.2224000000000004</v>
      </c>
    </row>
    <row r="18" spans="1:22" ht="15.5" x14ac:dyDescent="0.35">
      <c r="A18" s="4">
        <v>29</v>
      </c>
      <c r="B18" s="5" t="s">
        <v>120</v>
      </c>
      <c r="C18" s="6">
        <v>43725</v>
      </c>
      <c r="D18" s="6">
        <v>43729</v>
      </c>
      <c r="E18" s="5" t="s">
        <v>36</v>
      </c>
      <c r="F18" s="5" t="s">
        <v>121</v>
      </c>
      <c r="G18" s="5" t="s">
        <v>122</v>
      </c>
      <c r="H18" s="5" t="s">
        <v>39</v>
      </c>
      <c r="I18" s="5" t="s">
        <v>27</v>
      </c>
      <c r="J18" s="5" t="s">
        <v>123</v>
      </c>
      <c r="K18" s="5" t="s">
        <v>124</v>
      </c>
      <c r="L18" s="5">
        <v>19140</v>
      </c>
      <c r="M18" s="5" t="s">
        <v>125</v>
      </c>
      <c r="N18" s="5" t="s">
        <v>126</v>
      </c>
      <c r="O18" s="5" t="s">
        <v>32</v>
      </c>
      <c r="P18" s="5" t="s">
        <v>53</v>
      </c>
      <c r="Q18" s="5" t="s">
        <v>127</v>
      </c>
      <c r="R18" s="5">
        <v>9.6180000000000021</v>
      </c>
      <c r="S18" s="5">
        <v>2</v>
      </c>
      <c r="T18" s="5">
        <v>0.7</v>
      </c>
      <c r="U18" s="5">
        <v>5.7708000000000013</v>
      </c>
      <c r="V18" s="7">
        <v>-7.0532000000000004</v>
      </c>
    </row>
    <row r="19" spans="1:22" ht="15.5" x14ac:dyDescent="0.35">
      <c r="A19" s="8">
        <v>31</v>
      </c>
      <c r="B19" s="9" t="s">
        <v>120</v>
      </c>
      <c r="C19" s="10">
        <v>43725</v>
      </c>
      <c r="D19" s="10">
        <v>43729</v>
      </c>
      <c r="E19" s="9" t="s">
        <v>36</v>
      </c>
      <c r="F19" s="9" t="s">
        <v>121</v>
      </c>
      <c r="G19" s="9" t="s">
        <v>122</v>
      </c>
      <c r="H19" s="9" t="s">
        <v>39</v>
      </c>
      <c r="I19" s="9" t="s">
        <v>27</v>
      </c>
      <c r="J19" s="9" t="s">
        <v>123</v>
      </c>
      <c r="K19" s="9" t="s">
        <v>124</v>
      </c>
      <c r="L19" s="9">
        <v>19140</v>
      </c>
      <c r="M19" s="9" t="s">
        <v>125</v>
      </c>
      <c r="N19" s="9" t="s">
        <v>128</v>
      </c>
      <c r="O19" s="9" t="s">
        <v>32</v>
      </c>
      <c r="P19" s="9" t="s">
        <v>129</v>
      </c>
      <c r="Q19" s="9" t="s">
        <v>130</v>
      </c>
      <c r="R19" s="9">
        <v>3.2640000000000002</v>
      </c>
      <c r="S19" s="9">
        <v>2</v>
      </c>
      <c r="T19" s="9">
        <v>0.2</v>
      </c>
      <c r="U19" s="9">
        <v>5.2224000000000004</v>
      </c>
      <c r="V19" s="11">
        <v>1.1015999999999997</v>
      </c>
    </row>
    <row r="20" spans="1:22" ht="15.5" x14ac:dyDescent="0.35">
      <c r="A20" s="4">
        <v>32</v>
      </c>
      <c r="B20" s="5" t="s">
        <v>120</v>
      </c>
      <c r="C20" s="6">
        <v>43725</v>
      </c>
      <c r="D20" s="6">
        <v>43729</v>
      </c>
      <c r="E20" s="5" t="s">
        <v>36</v>
      </c>
      <c r="F20" s="5" t="s">
        <v>121</v>
      </c>
      <c r="G20" s="5" t="s">
        <v>122</v>
      </c>
      <c r="H20" s="5" t="s">
        <v>39</v>
      </c>
      <c r="I20" s="5" t="s">
        <v>27</v>
      </c>
      <c r="J20" s="5" t="s">
        <v>123</v>
      </c>
      <c r="K20" s="5" t="s">
        <v>124</v>
      </c>
      <c r="L20" s="5">
        <v>19140</v>
      </c>
      <c r="M20" s="5" t="s">
        <v>125</v>
      </c>
      <c r="N20" s="5" t="s">
        <v>131</v>
      </c>
      <c r="O20" s="5" t="s">
        <v>32</v>
      </c>
      <c r="P20" s="5" t="s">
        <v>50</v>
      </c>
      <c r="Q20" s="5" t="s">
        <v>132</v>
      </c>
      <c r="R20" s="5">
        <v>86.304000000000002</v>
      </c>
      <c r="S20" s="5">
        <v>6</v>
      </c>
      <c r="T20" s="5">
        <v>0.2</v>
      </c>
      <c r="U20" s="5">
        <v>414.25920000000008</v>
      </c>
      <c r="V20" s="7">
        <v>9.7091999999999885</v>
      </c>
    </row>
    <row r="21" spans="1:22" ht="15.5" x14ac:dyDescent="0.35">
      <c r="A21" s="8">
        <v>33</v>
      </c>
      <c r="B21" s="9" t="s">
        <v>120</v>
      </c>
      <c r="C21" s="10">
        <v>43725</v>
      </c>
      <c r="D21" s="10">
        <v>43729</v>
      </c>
      <c r="E21" s="9" t="s">
        <v>36</v>
      </c>
      <c r="F21" s="9" t="s">
        <v>121</v>
      </c>
      <c r="G21" s="9" t="s">
        <v>122</v>
      </c>
      <c r="H21" s="9" t="s">
        <v>39</v>
      </c>
      <c r="I21" s="9" t="s">
        <v>27</v>
      </c>
      <c r="J21" s="9" t="s">
        <v>123</v>
      </c>
      <c r="K21" s="9" t="s">
        <v>124</v>
      </c>
      <c r="L21" s="9">
        <v>19140</v>
      </c>
      <c r="M21" s="9" t="s">
        <v>125</v>
      </c>
      <c r="N21" s="9" t="s">
        <v>133</v>
      </c>
      <c r="O21" s="9" t="s">
        <v>32</v>
      </c>
      <c r="P21" s="9" t="s">
        <v>53</v>
      </c>
      <c r="Q21" s="9" t="s">
        <v>134</v>
      </c>
      <c r="R21" s="9">
        <v>6.8580000000000014</v>
      </c>
      <c r="S21" s="9">
        <v>6</v>
      </c>
      <c r="T21" s="9">
        <v>0.7</v>
      </c>
      <c r="U21" s="9">
        <v>12.344400000000004</v>
      </c>
      <c r="V21" s="11">
        <v>-5.7149999999999999</v>
      </c>
    </row>
    <row r="22" spans="1:22" ht="15.5" x14ac:dyDescent="0.35">
      <c r="A22" s="4">
        <v>34</v>
      </c>
      <c r="B22" s="5" t="s">
        <v>120</v>
      </c>
      <c r="C22" s="6">
        <v>43725</v>
      </c>
      <c r="D22" s="6">
        <v>43729</v>
      </c>
      <c r="E22" s="5" t="s">
        <v>36</v>
      </c>
      <c r="F22" s="5" t="s">
        <v>121</v>
      </c>
      <c r="G22" s="5" t="s">
        <v>122</v>
      </c>
      <c r="H22" s="5" t="s">
        <v>39</v>
      </c>
      <c r="I22" s="5" t="s">
        <v>27</v>
      </c>
      <c r="J22" s="5" t="s">
        <v>123</v>
      </c>
      <c r="K22" s="5" t="s">
        <v>124</v>
      </c>
      <c r="L22" s="5">
        <v>19140</v>
      </c>
      <c r="M22" s="5" t="s">
        <v>125</v>
      </c>
      <c r="N22" s="5" t="s">
        <v>135</v>
      </c>
      <c r="O22" s="5" t="s">
        <v>32</v>
      </c>
      <c r="P22" s="5" t="s">
        <v>50</v>
      </c>
      <c r="Q22" s="5" t="s">
        <v>136</v>
      </c>
      <c r="R22" s="5">
        <v>15.76</v>
      </c>
      <c r="S22" s="5">
        <v>2</v>
      </c>
      <c r="T22" s="5">
        <v>0.2</v>
      </c>
      <c r="U22" s="5">
        <v>25.216000000000001</v>
      </c>
      <c r="V22" s="7">
        <v>3.5460000000000007</v>
      </c>
    </row>
    <row r="23" spans="1:22" ht="15.5" x14ac:dyDescent="0.35">
      <c r="A23" s="8">
        <v>35</v>
      </c>
      <c r="B23" s="9" t="s">
        <v>137</v>
      </c>
      <c r="C23" s="10">
        <v>44488</v>
      </c>
      <c r="D23" s="10">
        <v>44492</v>
      </c>
      <c r="E23" s="9" t="s">
        <v>23</v>
      </c>
      <c r="F23" s="9" t="s">
        <v>138</v>
      </c>
      <c r="G23" s="9" t="s">
        <v>139</v>
      </c>
      <c r="H23" s="9" t="s">
        <v>76</v>
      </c>
      <c r="I23" s="9" t="s">
        <v>27</v>
      </c>
      <c r="J23" s="9" t="s">
        <v>140</v>
      </c>
      <c r="K23" s="9" t="s">
        <v>78</v>
      </c>
      <c r="L23" s="9">
        <v>77095</v>
      </c>
      <c r="M23" s="9" t="s">
        <v>79</v>
      </c>
      <c r="N23" s="9" t="s">
        <v>141</v>
      </c>
      <c r="O23" s="9" t="s">
        <v>32</v>
      </c>
      <c r="P23" s="9" t="s">
        <v>64</v>
      </c>
      <c r="Q23" s="9" t="s">
        <v>142</v>
      </c>
      <c r="R23" s="9">
        <v>29.472000000000001</v>
      </c>
      <c r="S23" s="9">
        <v>3</v>
      </c>
      <c r="T23" s="9">
        <v>0.2</v>
      </c>
      <c r="U23" s="9">
        <v>70.732799999999997</v>
      </c>
      <c r="V23" s="11">
        <v>9.9467999999999979</v>
      </c>
    </row>
    <row r="24" spans="1:22" ht="15.5" x14ac:dyDescent="0.35">
      <c r="A24" s="4">
        <v>38</v>
      </c>
      <c r="B24" s="5" t="s">
        <v>143</v>
      </c>
      <c r="C24" s="6">
        <v>43826</v>
      </c>
      <c r="D24" s="6">
        <v>43830</v>
      </c>
      <c r="E24" s="5" t="s">
        <v>36</v>
      </c>
      <c r="F24" s="5" t="s">
        <v>144</v>
      </c>
      <c r="G24" s="5" t="s">
        <v>145</v>
      </c>
      <c r="H24" s="5" t="s">
        <v>76</v>
      </c>
      <c r="I24" s="5" t="s">
        <v>27</v>
      </c>
      <c r="J24" s="5" t="s">
        <v>140</v>
      </c>
      <c r="K24" s="5" t="s">
        <v>78</v>
      </c>
      <c r="L24" s="5">
        <v>77041</v>
      </c>
      <c r="M24" s="5" t="s">
        <v>79</v>
      </c>
      <c r="N24" s="5" t="s">
        <v>146</v>
      </c>
      <c r="O24" s="5" t="s">
        <v>32</v>
      </c>
      <c r="P24" s="5" t="s">
        <v>129</v>
      </c>
      <c r="Q24" s="5" t="s">
        <v>147</v>
      </c>
      <c r="R24" s="5">
        <v>113.328</v>
      </c>
      <c r="S24" s="5">
        <v>9</v>
      </c>
      <c r="T24" s="5">
        <v>0.2</v>
      </c>
      <c r="U24" s="5">
        <v>815.96159999999998</v>
      </c>
      <c r="V24" s="7">
        <v>35.414999999999999</v>
      </c>
    </row>
    <row r="25" spans="1:22" ht="15.5" x14ac:dyDescent="0.35">
      <c r="A25" s="8">
        <v>43</v>
      </c>
      <c r="B25" s="9" t="s">
        <v>148</v>
      </c>
      <c r="C25" s="10">
        <v>44029</v>
      </c>
      <c r="D25" s="10">
        <v>44034</v>
      </c>
      <c r="E25" s="9" t="s">
        <v>36</v>
      </c>
      <c r="F25" s="9" t="s">
        <v>149</v>
      </c>
      <c r="G25" s="9" t="s">
        <v>150</v>
      </c>
      <c r="H25" s="9" t="s">
        <v>26</v>
      </c>
      <c r="I25" s="9" t="s">
        <v>27</v>
      </c>
      <c r="J25" s="9" t="s">
        <v>28</v>
      </c>
      <c r="K25" s="9" t="s">
        <v>29</v>
      </c>
      <c r="L25" s="9">
        <v>90049</v>
      </c>
      <c r="M25" s="9" t="s">
        <v>30</v>
      </c>
      <c r="N25" s="9" t="s">
        <v>151</v>
      </c>
      <c r="O25" s="9" t="s">
        <v>32</v>
      </c>
      <c r="P25" s="9" t="s">
        <v>44</v>
      </c>
      <c r="Q25" s="9" t="s">
        <v>152</v>
      </c>
      <c r="R25" s="9">
        <v>77.88</v>
      </c>
      <c r="S25" s="9">
        <v>2</v>
      </c>
      <c r="T25" s="9">
        <v>0</v>
      </c>
      <c r="U25" s="9">
        <v>155.76</v>
      </c>
      <c r="V25" s="11">
        <v>3.8939999999999912</v>
      </c>
    </row>
    <row r="26" spans="1:22" ht="15.5" x14ac:dyDescent="0.35">
      <c r="A26" s="4">
        <v>44</v>
      </c>
      <c r="B26" s="5" t="s">
        <v>153</v>
      </c>
      <c r="C26" s="6">
        <v>44458</v>
      </c>
      <c r="D26" s="6">
        <v>44462</v>
      </c>
      <c r="E26" s="5" t="s">
        <v>36</v>
      </c>
      <c r="F26" s="5" t="s">
        <v>154</v>
      </c>
      <c r="G26" s="5" t="s">
        <v>155</v>
      </c>
      <c r="H26" s="5" t="s">
        <v>26</v>
      </c>
      <c r="I26" s="5" t="s">
        <v>27</v>
      </c>
      <c r="J26" s="5" t="s">
        <v>156</v>
      </c>
      <c r="K26" s="5" t="s">
        <v>41</v>
      </c>
      <c r="L26" s="5">
        <v>32935</v>
      </c>
      <c r="M26" s="5" t="s">
        <v>42</v>
      </c>
      <c r="N26" s="5" t="s">
        <v>157</v>
      </c>
      <c r="O26" s="5" t="s">
        <v>32</v>
      </c>
      <c r="P26" s="5" t="s">
        <v>44</v>
      </c>
      <c r="Q26" s="5" t="s">
        <v>158</v>
      </c>
      <c r="R26" s="5">
        <v>95.616</v>
      </c>
      <c r="S26" s="5">
        <v>2</v>
      </c>
      <c r="T26" s="5">
        <v>0.2</v>
      </c>
      <c r="U26" s="5">
        <v>152.98560000000001</v>
      </c>
      <c r="V26" s="7">
        <v>9.5616000000000092</v>
      </c>
    </row>
    <row r="27" spans="1:22" ht="15.5" x14ac:dyDescent="0.35">
      <c r="A27" s="8">
        <v>46</v>
      </c>
      <c r="B27" s="9" t="s">
        <v>159</v>
      </c>
      <c r="C27" s="10">
        <v>43901</v>
      </c>
      <c r="D27" s="10">
        <v>43903</v>
      </c>
      <c r="E27" s="9" t="s">
        <v>160</v>
      </c>
      <c r="F27" s="9" t="s">
        <v>161</v>
      </c>
      <c r="G27" s="9" t="s">
        <v>162</v>
      </c>
      <c r="H27" s="9" t="s">
        <v>26</v>
      </c>
      <c r="I27" s="9" t="s">
        <v>27</v>
      </c>
      <c r="J27" s="9" t="s">
        <v>163</v>
      </c>
      <c r="K27" s="9" t="s">
        <v>164</v>
      </c>
      <c r="L27" s="9">
        <v>55122</v>
      </c>
      <c r="M27" s="9" t="s">
        <v>79</v>
      </c>
      <c r="N27" s="9" t="s">
        <v>165</v>
      </c>
      <c r="O27" s="9" t="s">
        <v>32</v>
      </c>
      <c r="P27" s="9" t="s">
        <v>53</v>
      </c>
      <c r="Q27" s="9" t="s">
        <v>166</v>
      </c>
      <c r="R27" s="9">
        <v>17.46</v>
      </c>
      <c r="S27" s="9">
        <v>2</v>
      </c>
      <c r="T27" s="9">
        <v>0</v>
      </c>
      <c r="U27" s="9">
        <v>34.92</v>
      </c>
      <c r="V27" s="11">
        <v>8.2061999999999991</v>
      </c>
    </row>
    <row r="28" spans="1:22" ht="15.5" x14ac:dyDescent="0.35">
      <c r="A28" s="4">
        <v>47</v>
      </c>
      <c r="B28" s="5" t="s">
        <v>167</v>
      </c>
      <c r="C28" s="6">
        <v>43393</v>
      </c>
      <c r="D28" s="6">
        <v>43398</v>
      </c>
      <c r="E28" s="5" t="s">
        <v>23</v>
      </c>
      <c r="F28" s="5" t="s">
        <v>168</v>
      </c>
      <c r="G28" s="5" t="s">
        <v>169</v>
      </c>
      <c r="H28" s="5" t="s">
        <v>39</v>
      </c>
      <c r="I28" s="5" t="s">
        <v>27</v>
      </c>
      <c r="J28" s="5" t="s">
        <v>170</v>
      </c>
      <c r="K28" s="5" t="s">
        <v>171</v>
      </c>
      <c r="L28" s="5">
        <v>48185</v>
      </c>
      <c r="M28" s="5" t="s">
        <v>79</v>
      </c>
      <c r="N28" s="5" t="s">
        <v>172</v>
      </c>
      <c r="O28" s="5" t="s">
        <v>32</v>
      </c>
      <c r="P28" s="5" t="s">
        <v>44</v>
      </c>
      <c r="Q28" s="5" t="s">
        <v>173</v>
      </c>
      <c r="R28" s="5">
        <v>211.96</v>
      </c>
      <c r="S28" s="5">
        <v>4</v>
      </c>
      <c r="T28" s="5">
        <v>0</v>
      </c>
      <c r="U28" s="5">
        <v>847.84</v>
      </c>
      <c r="V28" s="7">
        <v>8.4783999999999935</v>
      </c>
    </row>
    <row r="29" spans="1:22" ht="15.5" x14ac:dyDescent="0.35">
      <c r="A29" s="8">
        <v>50</v>
      </c>
      <c r="B29" s="9" t="s">
        <v>174</v>
      </c>
      <c r="C29" s="10">
        <v>43573</v>
      </c>
      <c r="D29" s="10">
        <v>43577</v>
      </c>
      <c r="E29" s="9" t="s">
        <v>36</v>
      </c>
      <c r="F29" s="9" t="s">
        <v>175</v>
      </c>
      <c r="G29" s="9" t="s">
        <v>176</v>
      </c>
      <c r="H29" s="9" t="s">
        <v>39</v>
      </c>
      <c r="I29" s="9" t="s">
        <v>27</v>
      </c>
      <c r="J29" s="9" t="s">
        <v>177</v>
      </c>
      <c r="K29" s="9" t="s">
        <v>178</v>
      </c>
      <c r="L29" s="9">
        <v>47150</v>
      </c>
      <c r="M29" s="9" t="s">
        <v>79</v>
      </c>
      <c r="N29" s="9" t="s">
        <v>179</v>
      </c>
      <c r="O29" s="9" t="s">
        <v>32</v>
      </c>
      <c r="P29" s="9" t="s">
        <v>53</v>
      </c>
      <c r="Q29" s="9" t="s">
        <v>180</v>
      </c>
      <c r="R29" s="9">
        <v>38.22</v>
      </c>
      <c r="S29" s="9">
        <v>6</v>
      </c>
      <c r="T29" s="9">
        <v>0</v>
      </c>
      <c r="U29" s="9">
        <v>229.32</v>
      </c>
      <c r="V29" s="11">
        <v>17.9634</v>
      </c>
    </row>
    <row r="30" spans="1:22" ht="15.5" x14ac:dyDescent="0.35">
      <c r="A30" s="4">
        <v>51</v>
      </c>
      <c r="B30" s="5" t="s">
        <v>174</v>
      </c>
      <c r="C30" s="6">
        <v>43573</v>
      </c>
      <c r="D30" s="6">
        <v>43577</v>
      </c>
      <c r="E30" s="5" t="s">
        <v>36</v>
      </c>
      <c r="F30" s="5" t="s">
        <v>175</v>
      </c>
      <c r="G30" s="5" t="s">
        <v>176</v>
      </c>
      <c r="H30" s="5" t="s">
        <v>39</v>
      </c>
      <c r="I30" s="5" t="s">
        <v>27</v>
      </c>
      <c r="J30" s="5" t="s">
        <v>177</v>
      </c>
      <c r="K30" s="5" t="s">
        <v>178</v>
      </c>
      <c r="L30" s="5">
        <v>47150</v>
      </c>
      <c r="M30" s="5" t="s">
        <v>79</v>
      </c>
      <c r="N30" s="5" t="s">
        <v>181</v>
      </c>
      <c r="O30" s="5" t="s">
        <v>32</v>
      </c>
      <c r="P30" s="5" t="s">
        <v>33</v>
      </c>
      <c r="Q30" s="5" t="s">
        <v>182</v>
      </c>
      <c r="R30" s="5">
        <v>75.179999999999993</v>
      </c>
      <c r="S30" s="5">
        <v>6</v>
      </c>
      <c r="T30" s="5">
        <v>0</v>
      </c>
      <c r="U30" s="5">
        <v>451.07999999999993</v>
      </c>
      <c r="V30" s="7">
        <v>35.334599999999995</v>
      </c>
    </row>
    <row r="31" spans="1:22" ht="15.5" x14ac:dyDescent="0.35">
      <c r="A31" s="8">
        <v>54</v>
      </c>
      <c r="B31" s="9" t="s">
        <v>183</v>
      </c>
      <c r="C31" s="10">
        <v>44176</v>
      </c>
      <c r="D31" s="10">
        <v>44182</v>
      </c>
      <c r="E31" s="9" t="s">
        <v>36</v>
      </c>
      <c r="F31" s="9" t="s">
        <v>184</v>
      </c>
      <c r="G31" s="9" t="s">
        <v>185</v>
      </c>
      <c r="H31" s="9" t="s">
        <v>26</v>
      </c>
      <c r="I31" s="9" t="s">
        <v>27</v>
      </c>
      <c r="J31" s="9" t="s">
        <v>186</v>
      </c>
      <c r="K31" s="9" t="s">
        <v>187</v>
      </c>
      <c r="L31" s="9">
        <v>10024</v>
      </c>
      <c r="M31" s="9" t="s">
        <v>125</v>
      </c>
      <c r="N31" s="9" t="s">
        <v>188</v>
      </c>
      <c r="O31" s="9" t="s">
        <v>32</v>
      </c>
      <c r="P31" s="9" t="s">
        <v>189</v>
      </c>
      <c r="Q31" s="9" t="s">
        <v>190</v>
      </c>
      <c r="R31" s="9">
        <v>15.260000000000002</v>
      </c>
      <c r="S31" s="9">
        <v>7</v>
      </c>
      <c r="T31" s="9">
        <v>0</v>
      </c>
      <c r="U31" s="9">
        <v>106.82000000000001</v>
      </c>
      <c r="V31" s="11">
        <v>6.2566000000000006</v>
      </c>
    </row>
    <row r="32" spans="1:22" ht="15.5" x14ac:dyDescent="0.35">
      <c r="A32" s="4">
        <v>56</v>
      </c>
      <c r="B32" s="5" t="s">
        <v>191</v>
      </c>
      <c r="C32" s="6">
        <v>43999</v>
      </c>
      <c r="D32" s="6">
        <v>44000</v>
      </c>
      <c r="E32" s="5" t="s">
        <v>160</v>
      </c>
      <c r="F32" s="5" t="s">
        <v>192</v>
      </c>
      <c r="G32" s="5" t="s">
        <v>193</v>
      </c>
      <c r="H32" s="5" t="s">
        <v>39</v>
      </c>
      <c r="I32" s="5" t="s">
        <v>27</v>
      </c>
      <c r="J32" s="5" t="s">
        <v>194</v>
      </c>
      <c r="K32" s="5" t="s">
        <v>187</v>
      </c>
      <c r="L32" s="5">
        <v>12180</v>
      </c>
      <c r="M32" s="5" t="s">
        <v>125</v>
      </c>
      <c r="N32" s="5" t="s">
        <v>195</v>
      </c>
      <c r="O32" s="5" t="s">
        <v>32</v>
      </c>
      <c r="P32" s="5" t="s">
        <v>44</v>
      </c>
      <c r="Q32" s="5" t="s">
        <v>196</v>
      </c>
      <c r="R32" s="5">
        <v>208.56</v>
      </c>
      <c r="S32" s="5">
        <v>6</v>
      </c>
      <c r="T32" s="5">
        <v>0</v>
      </c>
      <c r="U32" s="5">
        <v>1251.3600000000001</v>
      </c>
      <c r="V32" s="7">
        <v>52.139999999999986</v>
      </c>
    </row>
    <row r="33" spans="1:22" ht="15.5" x14ac:dyDescent="0.35">
      <c r="A33" s="8">
        <v>57</v>
      </c>
      <c r="B33" s="9" t="s">
        <v>191</v>
      </c>
      <c r="C33" s="10">
        <v>43999</v>
      </c>
      <c r="D33" s="10">
        <v>44000</v>
      </c>
      <c r="E33" s="9" t="s">
        <v>160</v>
      </c>
      <c r="F33" s="9" t="s">
        <v>192</v>
      </c>
      <c r="G33" s="9" t="s">
        <v>193</v>
      </c>
      <c r="H33" s="9" t="s">
        <v>39</v>
      </c>
      <c r="I33" s="9" t="s">
        <v>27</v>
      </c>
      <c r="J33" s="9" t="s">
        <v>194</v>
      </c>
      <c r="K33" s="9" t="s">
        <v>187</v>
      </c>
      <c r="L33" s="9">
        <v>12180</v>
      </c>
      <c r="M33" s="9" t="s">
        <v>125</v>
      </c>
      <c r="N33" s="9" t="s">
        <v>197</v>
      </c>
      <c r="O33" s="9" t="s">
        <v>32</v>
      </c>
      <c r="P33" s="9" t="s">
        <v>64</v>
      </c>
      <c r="Q33" s="9" t="s">
        <v>198</v>
      </c>
      <c r="R33" s="9">
        <v>32.400000000000006</v>
      </c>
      <c r="S33" s="9">
        <v>5</v>
      </c>
      <c r="T33" s="9">
        <v>0</v>
      </c>
      <c r="U33" s="9">
        <v>162.00000000000003</v>
      </c>
      <c r="V33" s="11">
        <v>15.552000000000001</v>
      </c>
    </row>
    <row r="34" spans="1:22" ht="15.5" x14ac:dyDescent="0.35">
      <c r="A34" s="4">
        <v>59</v>
      </c>
      <c r="B34" s="5" t="s">
        <v>191</v>
      </c>
      <c r="C34" s="6">
        <v>43999</v>
      </c>
      <c r="D34" s="6">
        <v>44000</v>
      </c>
      <c r="E34" s="5" t="s">
        <v>160</v>
      </c>
      <c r="F34" s="5" t="s">
        <v>192</v>
      </c>
      <c r="G34" s="5" t="s">
        <v>193</v>
      </c>
      <c r="H34" s="5" t="s">
        <v>39</v>
      </c>
      <c r="I34" s="5" t="s">
        <v>27</v>
      </c>
      <c r="J34" s="5" t="s">
        <v>194</v>
      </c>
      <c r="K34" s="5" t="s">
        <v>187</v>
      </c>
      <c r="L34" s="5">
        <v>12180</v>
      </c>
      <c r="M34" s="5" t="s">
        <v>125</v>
      </c>
      <c r="N34" s="5" t="s">
        <v>199</v>
      </c>
      <c r="O34" s="5" t="s">
        <v>32</v>
      </c>
      <c r="P34" s="5" t="s">
        <v>64</v>
      </c>
      <c r="Q34" s="5" t="s">
        <v>200</v>
      </c>
      <c r="R34" s="5">
        <v>14.56</v>
      </c>
      <c r="S34" s="5">
        <v>2</v>
      </c>
      <c r="T34" s="5">
        <v>0</v>
      </c>
      <c r="U34" s="5">
        <v>29.12</v>
      </c>
      <c r="V34" s="7">
        <v>6.9888000000000003</v>
      </c>
    </row>
    <row r="35" spans="1:22" ht="15.5" x14ac:dyDescent="0.35">
      <c r="A35" s="8">
        <v>61</v>
      </c>
      <c r="B35" s="9" t="s">
        <v>191</v>
      </c>
      <c r="C35" s="10">
        <v>43999</v>
      </c>
      <c r="D35" s="10">
        <v>44000</v>
      </c>
      <c r="E35" s="9" t="s">
        <v>160</v>
      </c>
      <c r="F35" s="9" t="s">
        <v>192</v>
      </c>
      <c r="G35" s="9" t="s">
        <v>193</v>
      </c>
      <c r="H35" s="9" t="s">
        <v>39</v>
      </c>
      <c r="I35" s="9" t="s">
        <v>27</v>
      </c>
      <c r="J35" s="9" t="s">
        <v>194</v>
      </c>
      <c r="K35" s="9" t="s">
        <v>187</v>
      </c>
      <c r="L35" s="9">
        <v>12180</v>
      </c>
      <c r="M35" s="9" t="s">
        <v>125</v>
      </c>
      <c r="N35" s="9" t="s">
        <v>201</v>
      </c>
      <c r="O35" s="9" t="s">
        <v>32</v>
      </c>
      <c r="P35" s="9" t="s">
        <v>53</v>
      </c>
      <c r="Q35" s="9" t="s">
        <v>202</v>
      </c>
      <c r="R35" s="9">
        <v>48.480000000000004</v>
      </c>
      <c r="S35" s="9">
        <v>4</v>
      </c>
      <c r="T35" s="9">
        <v>0.2</v>
      </c>
      <c r="U35" s="9">
        <v>155.13600000000002</v>
      </c>
      <c r="V35" s="11">
        <v>16.361999999999998</v>
      </c>
    </row>
    <row r="36" spans="1:22" ht="15.5" x14ac:dyDescent="0.35">
      <c r="A36" s="4">
        <v>62</v>
      </c>
      <c r="B36" s="5" t="s">
        <v>191</v>
      </c>
      <c r="C36" s="6">
        <v>43999</v>
      </c>
      <c r="D36" s="6">
        <v>44000</v>
      </c>
      <c r="E36" s="5" t="s">
        <v>160</v>
      </c>
      <c r="F36" s="5" t="s">
        <v>192</v>
      </c>
      <c r="G36" s="5" t="s">
        <v>193</v>
      </c>
      <c r="H36" s="5" t="s">
        <v>39</v>
      </c>
      <c r="I36" s="5" t="s">
        <v>27</v>
      </c>
      <c r="J36" s="5" t="s">
        <v>194</v>
      </c>
      <c r="K36" s="5" t="s">
        <v>187</v>
      </c>
      <c r="L36" s="5">
        <v>12180</v>
      </c>
      <c r="M36" s="5" t="s">
        <v>125</v>
      </c>
      <c r="N36" s="5" t="s">
        <v>203</v>
      </c>
      <c r="O36" s="5" t="s">
        <v>32</v>
      </c>
      <c r="P36" s="5" t="s">
        <v>50</v>
      </c>
      <c r="Q36" s="5" t="s">
        <v>204</v>
      </c>
      <c r="R36" s="5">
        <v>1.68</v>
      </c>
      <c r="S36" s="5">
        <v>1</v>
      </c>
      <c r="T36" s="5">
        <v>0</v>
      </c>
      <c r="U36" s="5">
        <v>1.68</v>
      </c>
      <c r="V36" s="7">
        <v>0.84</v>
      </c>
    </row>
    <row r="37" spans="1:22" ht="15.5" x14ac:dyDescent="0.35">
      <c r="A37" s="8">
        <v>64</v>
      </c>
      <c r="B37" s="9" t="s">
        <v>205</v>
      </c>
      <c r="C37" s="10">
        <v>43793</v>
      </c>
      <c r="D37" s="10">
        <v>43799</v>
      </c>
      <c r="E37" s="9" t="s">
        <v>36</v>
      </c>
      <c r="F37" s="9" t="s">
        <v>206</v>
      </c>
      <c r="G37" s="9" t="s">
        <v>207</v>
      </c>
      <c r="H37" s="9" t="s">
        <v>39</v>
      </c>
      <c r="I37" s="9" t="s">
        <v>27</v>
      </c>
      <c r="J37" s="9" t="s">
        <v>28</v>
      </c>
      <c r="K37" s="9" t="s">
        <v>29</v>
      </c>
      <c r="L37" s="9">
        <v>90004</v>
      </c>
      <c r="M37" s="9" t="s">
        <v>30</v>
      </c>
      <c r="N37" s="9" t="s">
        <v>208</v>
      </c>
      <c r="O37" s="9" t="s">
        <v>32</v>
      </c>
      <c r="P37" s="9" t="s">
        <v>53</v>
      </c>
      <c r="Q37" s="9" t="s">
        <v>209</v>
      </c>
      <c r="R37" s="9">
        <v>25.824000000000002</v>
      </c>
      <c r="S37" s="9">
        <v>6</v>
      </c>
      <c r="T37" s="9">
        <v>0.2</v>
      </c>
      <c r="U37" s="9">
        <v>123.95520000000002</v>
      </c>
      <c r="V37" s="11">
        <v>9.3612000000000002</v>
      </c>
    </row>
    <row r="38" spans="1:22" ht="15.5" x14ac:dyDescent="0.35">
      <c r="A38" s="4">
        <v>65</v>
      </c>
      <c r="B38" s="5" t="s">
        <v>205</v>
      </c>
      <c r="C38" s="6">
        <v>43793</v>
      </c>
      <c r="D38" s="6">
        <v>43799</v>
      </c>
      <c r="E38" s="5" t="s">
        <v>36</v>
      </c>
      <c r="F38" s="5" t="s">
        <v>206</v>
      </c>
      <c r="G38" s="5" t="s">
        <v>207</v>
      </c>
      <c r="H38" s="5" t="s">
        <v>39</v>
      </c>
      <c r="I38" s="5" t="s">
        <v>27</v>
      </c>
      <c r="J38" s="5" t="s">
        <v>28</v>
      </c>
      <c r="K38" s="5" t="s">
        <v>29</v>
      </c>
      <c r="L38" s="5">
        <v>90004</v>
      </c>
      <c r="M38" s="5" t="s">
        <v>30</v>
      </c>
      <c r="N38" s="5" t="s">
        <v>210</v>
      </c>
      <c r="O38" s="5" t="s">
        <v>32</v>
      </c>
      <c r="P38" s="5" t="s">
        <v>64</v>
      </c>
      <c r="Q38" s="5" t="s">
        <v>211</v>
      </c>
      <c r="R38" s="5">
        <v>146.72999999999999</v>
      </c>
      <c r="S38" s="5">
        <v>3</v>
      </c>
      <c r="T38" s="5">
        <v>0</v>
      </c>
      <c r="U38" s="5">
        <v>440.18999999999994</v>
      </c>
      <c r="V38" s="7">
        <v>68.963099999999997</v>
      </c>
    </row>
    <row r="39" spans="1:22" ht="15.5" x14ac:dyDescent="0.35">
      <c r="A39" s="8">
        <v>68</v>
      </c>
      <c r="B39" s="9" t="s">
        <v>212</v>
      </c>
      <c r="C39" s="10">
        <v>43439</v>
      </c>
      <c r="D39" s="10">
        <v>43444</v>
      </c>
      <c r="E39" s="9" t="s">
        <v>36</v>
      </c>
      <c r="F39" s="9" t="s">
        <v>213</v>
      </c>
      <c r="G39" s="9" t="s">
        <v>214</v>
      </c>
      <c r="H39" s="9" t="s">
        <v>26</v>
      </c>
      <c r="I39" s="9" t="s">
        <v>27</v>
      </c>
      <c r="J39" s="9" t="s">
        <v>215</v>
      </c>
      <c r="K39" s="9" t="s">
        <v>216</v>
      </c>
      <c r="L39" s="9">
        <v>85234</v>
      </c>
      <c r="M39" s="9" t="s">
        <v>30</v>
      </c>
      <c r="N39" s="9" t="s">
        <v>217</v>
      </c>
      <c r="O39" s="9" t="s">
        <v>32</v>
      </c>
      <c r="P39" s="9" t="s">
        <v>50</v>
      </c>
      <c r="Q39" s="9" t="s">
        <v>218</v>
      </c>
      <c r="R39" s="9">
        <v>1113.0240000000001</v>
      </c>
      <c r="S39" s="9">
        <v>8</v>
      </c>
      <c r="T39" s="9">
        <v>0.2</v>
      </c>
      <c r="U39" s="9">
        <v>7123.3536000000004</v>
      </c>
      <c r="V39" s="11">
        <v>111.30239999999998</v>
      </c>
    </row>
    <row r="40" spans="1:22" ht="15.5" x14ac:dyDescent="0.35">
      <c r="A40" s="4">
        <v>70</v>
      </c>
      <c r="B40" s="5" t="s">
        <v>219</v>
      </c>
      <c r="C40" s="6">
        <v>43986</v>
      </c>
      <c r="D40" s="6">
        <v>43988</v>
      </c>
      <c r="E40" s="5" t="s">
        <v>160</v>
      </c>
      <c r="F40" s="5" t="s">
        <v>220</v>
      </c>
      <c r="G40" s="5" t="s">
        <v>221</v>
      </c>
      <c r="H40" s="5" t="s">
        <v>39</v>
      </c>
      <c r="I40" s="5" t="s">
        <v>27</v>
      </c>
      <c r="J40" s="5" t="s">
        <v>222</v>
      </c>
      <c r="K40" s="5" t="s">
        <v>223</v>
      </c>
      <c r="L40" s="5">
        <v>22153</v>
      </c>
      <c r="M40" s="5" t="s">
        <v>42</v>
      </c>
      <c r="N40" s="5" t="s">
        <v>224</v>
      </c>
      <c r="O40" s="5" t="s">
        <v>32</v>
      </c>
      <c r="P40" s="5" t="s">
        <v>64</v>
      </c>
      <c r="Q40" s="5" t="s">
        <v>225</v>
      </c>
      <c r="R40" s="5">
        <v>75.88</v>
      </c>
      <c r="S40" s="5">
        <v>2</v>
      </c>
      <c r="T40" s="5">
        <v>0</v>
      </c>
      <c r="U40" s="5">
        <v>151.76</v>
      </c>
      <c r="V40" s="7">
        <v>35.663599999999995</v>
      </c>
    </row>
    <row r="41" spans="1:22" ht="15.5" x14ac:dyDescent="0.35">
      <c r="A41" s="8">
        <v>71</v>
      </c>
      <c r="B41" s="9" t="s">
        <v>226</v>
      </c>
      <c r="C41" s="10">
        <v>44092</v>
      </c>
      <c r="D41" s="10">
        <v>44097</v>
      </c>
      <c r="E41" s="9" t="s">
        <v>36</v>
      </c>
      <c r="F41" s="9" t="s">
        <v>227</v>
      </c>
      <c r="G41" s="9" t="s">
        <v>228</v>
      </c>
      <c r="H41" s="9" t="s">
        <v>39</v>
      </c>
      <c r="I41" s="9" t="s">
        <v>27</v>
      </c>
      <c r="J41" s="9" t="s">
        <v>186</v>
      </c>
      <c r="K41" s="9" t="s">
        <v>187</v>
      </c>
      <c r="L41" s="9">
        <v>10009</v>
      </c>
      <c r="M41" s="9" t="s">
        <v>125</v>
      </c>
      <c r="N41" s="9" t="s">
        <v>229</v>
      </c>
      <c r="O41" s="9" t="s">
        <v>32</v>
      </c>
      <c r="P41" s="9" t="s">
        <v>53</v>
      </c>
      <c r="Q41" s="9" t="s">
        <v>230</v>
      </c>
      <c r="R41" s="9">
        <v>4.6159999999999997</v>
      </c>
      <c r="S41" s="9">
        <v>1</v>
      </c>
      <c r="T41" s="9">
        <v>0.2</v>
      </c>
      <c r="U41" s="9">
        <v>3.6927999999999996</v>
      </c>
      <c r="V41" s="11">
        <v>1.7309999999999999</v>
      </c>
    </row>
    <row r="42" spans="1:22" ht="15.5" x14ac:dyDescent="0.35">
      <c r="A42" s="4">
        <v>72</v>
      </c>
      <c r="B42" s="5" t="s">
        <v>231</v>
      </c>
      <c r="C42" s="6">
        <v>44453</v>
      </c>
      <c r="D42" s="6">
        <v>44456</v>
      </c>
      <c r="E42" s="5" t="s">
        <v>23</v>
      </c>
      <c r="F42" s="5" t="s">
        <v>121</v>
      </c>
      <c r="G42" s="5" t="s">
        <v>122</v>
      </c>
      <c r="H42" s="5" t="s">
        <v>39</v>
      </c>
      <c r="I42" s="5" t="s">
        <v>27</v>
      </c>
      <c r="J42" s="5" t="s">
        <v>232</v>
      </c>
      <c r="K42" s="5" t="s">
        <v>171</v>
      </c>
      <c r="L42" s="5">
        <v>49201</v>
      </c>
      <c r="M42" s="5" t="s">
        <v>79</v>
      </c>
      <c r="N42" s="5" t="s">
        <v>233</v>
      </c>
      <c r="O42" s="5" t="s">
        <v>32</v>
      </c>
      <c r="P42" s="5" t="s">
        <v>64</v>
      </c>
      <c r="Q42" s="5" t="s">
        <v>234</v>
      </c>
      <c r="R42" s="5">
        <v>19.049999999999997</v>
      </c>
      <c r="S42" s="5">
        <v>3</v>
      </c>
      <c r="T42" s="5">
        <v>0</v>
      </c>
      <c r="U42" s="5">
        <v>57.149999999999991</v>
      </c>
      <c r="V42" s="7">
        <v>8.7629999999999999</v>
      </c>
    </row>
    <row r="43" spans="1:22" ht="15.5" x14ac:dyDescent="0.35">
      <c r="A43" s="8">
        <v>75</v>
      </c>
      <c r="B43" s="9" t="s">
        <v>235</v>
      </c>
      <c r="C43" s="10">
        <v>43581</v>
      </c>
      <c r="D43" s="10">
        <v>43587</v>
      </c>
      <c r="E43" s="9" t="s">
        <v>36</v>
      </c>
      <c r="F43" s="9" t="s">
        <v>236</v>
      </c>
      <c r="G43" s="9" t="s">
        <v>237</v>
      </c>
      <c r="H43" s="9" t="s">
        <v>39</v>
      </c>
      <c r="I43" s="9" t="s">
        <v>27</v>
      </c>
      <c r="J43" s="9" t="s">
        <v>238</v>
      </c>
      <c r="K43" s="9" t="s">
        <v>239</v>
      </c>
      <c r="L43" s="9">
        <v>38109</v>
      </c>
      <c r="M43" s="9" t="s">
        <v>42</v>
      </c>
      <c r="N43" s="9" t="s">
        <v>240</v>
      </c>
      <c r="O43" s="9" t="s">
        <v>32</v>
      </c>
      <c r="P43" s="9" t="s">
        <v>44</v>
      </c>
      <c r="Q43" s="9" t="s">
        <v>241</v>
      </c>
      <c r="R43" s="9">
        <v>72.784000000000006</v>
      </c>
      <c r="S43" s="9">
        <v>1</v>
      </c>
      <c r="T43" s="9">
        <v>0.2</v>
      </c>
      <c r="U43" s="9">
        <v>58.227200000000003</v>
      </c>
      <c r="V43" s="11">
        <v>-18.196000000000002</v>
      </c>
    </row>
    <row r="44" spans="1:22" ht="15.5" x14ac:dyDescent="0.35">
      <c r="A44" s="4">
        <v>76</v>
      </c>
      <c r="B44" s="5" t="s">
        <v>242</v>
      </c>
      <c r="C44" s="6">
        <v>44539</v>
      </c>
      <c r="D44" s="6">
        <v>44541</v>
      </c>
      <c r="E44" s="5" t="s">
        <v>160</v>
      </c>
      <c r="F44" s="5" t="s">
        <v>243</v>
      </c>
      <c r="G44" s="5" t="s">
        <v>244</v>
      </c>
      <c r="H44" s="5" t="s">
        <v>26</v>
      </c>
      <c r="I44" s="5" t="s">
        <v>27</v>
      </c>
      <c r="J44" s="5" t="s">
        <v>140</v>
      </c>
      <c r="K44" s="5" t="s">
        <v>78</v>
      </c>
      <c r="L44" s="5">
        <v>77041</v>
      </c>
      <c r="M44" s="5" t="s">
        <v>79</v>
      </c>
      <c r="N44" s="5" t="s">
        <v>245</v>
      </c>
      <c r="O44" s="5" t="s">
        <v>32</v>
      </c>
      <c r="P44" s="5" t="s">
        <v>53</v>
      </c>
      <c r="Q44" s="5" t="s">
        <v>246</v>
      </c>
      <c r="R44" s="5">
        <v>1.2479999999999998</v>
      </c>
      <c r="S44" s="5">
        <v>3</v>
      </c>
      <c r="T44" s="5">
        <v>0.8</v>
      </c>
      <c r="U44" s="5">
        <v>0.74879999999999969</v>
      </c>
      <c r="V44" s="7">
        <v>-1.9344000000000006</v>
      </c>
    </row>
    <row r="45" spans="1:22" ht="15.5" x14ac:dyDescent="0.35">
      <c r="A45" s="8">
        <v>78</v>
      </c>
      <c r="B45" s="9" t="s">
        <v>242</v>
      </c>
      <c r="C45" s="10">
        <v>44539</v>
      </c>
      <c r="D45" s="10">
        <v>44541</v>
      </c>
      <c r="E45" s="9" t="s">
        <v>160</v>
      </c>
      <c r="F45" s="9" t="s">
        <v>243</v>
      </c>
      <c r="G45" s="9" t="s">
        <v>244</v>
      </c>
      <c r="H45" s="9" t="s">
        <v>26</v>
      </c>
      <c r="I45" s="9" t="s">
        <v>27</v>
      </c>
      <c r="J45" s="9" t="s">
        <v>140</v>
      </c>
      <c r="K45" s="9" t="s">
        <v>78</v>
      </c>
      <c r="L45" s="9">
        <v>77041</v>
      </c>
      <c r="M45" s="9" t="s">
        <v>79</v>
      </c>
      <c r="N45" s="9" t="s">
        <v>247</v>
      </c>
      <c r="O45" s="9" t="s">
        <v>32</v>
      </c>
      <c r="P45" s="9" t="s">
        <v>44</v>
      </c>
      <c r="Q45" s="9" t="s">
        <v>248</v>
      </c>
      <c r="R45" s="9">
        <v>27.240000000000002</v>
      </c>
      <c r="S45" s="9">
        <v>3</v>
      </c>
      <c r="T45" s="9">
        <v>0.2</v>
      </c>
      <c r="U45" s="9">
        <v>65.376000000000005</v>
      </c>
      <c r="V45" s="11">
        <v>2.724000000000002</v>
      </c>
    </row>
    <row r="46" spans="1:22" ht="15.5" x14ac:dyDescent="0.35">
      <c r="A46" s="4">
        <v>80</v>
      </c>
      <c r="B46" s="5" t="s">
        <v>249</v>
      </c>
      <c r="C46" s="6">
        <v>43994</v>
      </c>
      <c r="D46" s="6">
        <v>43997</v>
      </c>
      <c r="E46" s="5" t="s">
        <v>160</v>
      </c>
      <c r="F46" s="5" t="s">
        <v>250</v>
      </c>
      <c r="G46" s="5" t="s">
        <v>251</v>
      </c>
      <c r="H46" s="5" t="s">
        <v>26</v>
      </c>
      <c r="I46" s="5" t="s">
        <v>27</v>
      </c>
      <c r="J46" s="5" t="s">
        <v>252</v>
      </c>
      <c r="K46" s="5" t="s">
        <v>253</v>
      </c>
      <c r="L46" s="5">
        <v>35601</v>
      </c>
      <c r="M46" s="5" t="s">
        <v>42</v>
      </c>
      <c r="N46" s="5" t="s">
        <v>254</v>
      </c>
      <c r="O46" s="5" t="s">
        <v>32</v>
      </c>
      <c r="P46" s="5" t="s">
        <v>56</v>
      </c>
      <c r="Q46" s="5" t="s">
        <v>255</v>
      </c>
      <c r="R46" s="5">
        <v>208.16</v>
      </c>
      <c r="S46" s="5">
        <v>1</v>
      </c>
      <c r="T46" s="5">
        <v>0</v>
      </c>
      <c r="U46" s="5">
        <v>208.16</v>
      </c>
      <c r="V46" s="7">
        <v>56.20320000000001</v>
      </c>
    </row>
    <row r="47" spans="1:22" ht="15.5" x14ac:dyDescent="0.35">
      <c r="A47" s="8">
        <v>81</v>
      </c>
      <c r="B47" s="9" t="s">
        <v>249</v>
      </c>
      <c r="C47" s="10">
        <v>43994</v>
      </c>
      <c r="D47" s="10">
        <v>43997</v>
      </c>
      <c r="E47" s="9" t="s">
        <v>160</v>
      </c>
      <c r="F47" s="9" t="s">
        <v>250</v>
      </c>
      <c r="G47" s="9" t="s">
        <v>251</v>
      </c>
      <c r="H47" s="9" t="s">
        <v>26</v>
      </c>
      <c r="I47" s="9" t="s">
        <v>27</v>
      </c>
      <c r="J47" s="9" t="s">
        <v>252</v>
      </c>
      <c r="K47" s="9" t="s">
        <v>253</v>
      </c>
      <c r="L47" s="9">
        <v>35601</v>
      </c>
      <c r="M47" s="9" t="s">
        <v>42</v>
      </c>
      <c r="N47" s="9" t="s">
        <v>256</v>
      </c>
      <c r="O47" s="9" t="s">
        <v>32</v>
      </c>
      <c r="P47" s="9" t="s">
        <v>53</v>
      </c>
      <c r="Q47" s="9" t="s">
        <v>257</v>
      </c>
      <c r="R47" s="9">
        <v>16.740000000000002</v>
      </c>
      <c r="S47" s="9">
        <v>3</v>
      </c>
      <c r="T47" s="9">
        <v>0</v>
      </c>
      <c r="U47" s="9">
        <v>50.220000000000006</v>
      </c>
      <c r="V47" s="11">
        <v>8.0351999999999997</v>
      </c>
    </row>
    <row r="48" spans="1:22" ht="15.5" x14ac:dyDescent="0.35">
      <c r="A48" s="4">
        <v>82</v>
      </c>
      <c r="B48" s="5" t="s">
        <v>258</v>
      </c>
      <c r="C48" s="6">
        <v>43385</v>
      </c>
      <c r="D48" s="6">
        <v>43389</v>
      </c>
      <c r="E48" s="5" t="s">
        <v>36</v>
      </c>
      <c r="F48" s="5" t="s">
        <v>259</v>
      </c>
      <c r="G48" s="5" t="s">
        <v>260</v>
      </c>
      <c r="H48" s="5" t="s">
        <v>39</v>
      </c>
      <c r="I48" s="5" t="s">
        <v>27</v>
      </c>
      <c r="J48" s="5" t="s">
        <v>101</v>
      </c>
      <c r="K48" s="5" t="s">
        <v>29</v>
      </c>
      <c r="L48" s="5">
        <v>94122</v>
      </c>
      <c r="M48" s="5" t="s">
        <v>30</v>
      </c>
      <c r="N48" s="5" t="s">
        <v>261</v>
      </c>
      <c r="O48" s="5" t="s">
        <v>32</v>
      </c>
      <c r="P48" s="5" t="s">
        <v>50</v>
      </c>
      <c r="Q48" s="5" t="s">
        <v>262</v>
      </c>
      <c r="R48" s="5">
        <v>14.9</v>
      </c>
      <c r="S48" s="5">
        <v>5</v>
      </c>
      <c r="T48" s="5">
        <v>0</v>
      </c>
      <c r="U48" s="5">
        <v>74.5</v>
      </c>
      <c r="V48" s="7">
        <v>4.1720000000000006</v>
      </c>
    </row>
    <row r="49" spans="1:22" ht="15.5" x14ac:dyDescent="0.35">
      <c r="A49" s="8">
        <v>83</v>
      </c>
      <c r="B49" s="9" t="s">
        <v>258</v>
      </c>
      <c r="C49" s="10">
        <v>43385</v>
      </c>
      <c r="D49" s="10">
        <v>43389</v>
      </c>
      <c r="E49" s="9" t="s">
        <v>36</v>
      </c>
      <c r="F49" s="9" t="s">
        <v>259</v>
      </c>
      <c r="G49" s="9" t="s">
        <v>260</v>
      </c>
      <c r="H49" s="9" t="s">
        <v>39</v>
      </c>
      <c r="I49" s="9" t="s">
        <v>27</v>
      </c>
      <c r="J49" s="9" t="s">
        <v>101</v>
      </c>
      <c r="K49" s="9" t="s">
        <v>29</v>
      </c>
      <c r="L49" s="9">
        <v>94122</v>
      </c>
      <c r="M49" s="9" t="s">
        <v>30</v>
      </c>
      <c r="N49" s="9" t="s">
        <v>263</v>
      </c>
      <c r="O49" s="9" t="s">
        <v>32</v>
      </c>
      <c r="P49" s="9" t="s">
        <v>44</v>
      </c>
      <c r="Q49" s="9" t="s">
        <v>264</v>
      </c>
      <c r="R49" s="9">
        <v>21.39</v>
      </c>
      <c r="S49" s="9">
        <v>1</v>
      </c>
      <c r="T49" s="9">
        <v>0</v>
      </c>
      <c r="U49" s="9">
        <v>21.39</v>
      </c>
      <c r="V49" s="11">
        <v>6.2030999999999992</v>
      </c>
    </row>
    <row r="50" spans="1:22" ht="15.5" x14ac:dyDescent="0.35">
      <c r="A50" s="4">
        <v>84</v>
      </c>
      <c r="B50" s="5" t="s">
        <v>265</v>
      </c>
      <c r="C50" s="6">
        <v>43711</v>
      </c>
      <c r="D50" s="6">
        <v>43716</v>
      </c>
      <c r="E50" s="5" t="s">
        <v>36</v>
      </c>
      <c r="F50" s="5" t="s">
        <v>266</v>
      </c>
      <c r="G50" s="5" t="s">
        <v>267</v>
      </c>
      <c r="H50" s="5" t="s">
        <v>26</v>
      </c>
      <c r="I50" s="5" t="s">
        <v>27</v>
      </c>
      <c r="J50" s="5" t="s">
        <v>268</v>
      </c>
      <c r="K50" s="5" t="s">
        <v>62</v>
      </c>
      <c r="L50" s="5">
        <v>27707</v>
      </c>
      <c r="M50" s="5" t="s">
        <v>42</v>
      </c>
      <c r="N50" s="5" t="s">
        <v>269</v>
      </c>
      <c r="O50" s="5" t="s">
        <v>32</v>
      </c>
      <c r="P50" s="5" t="s">
        <v>129</v>
      </c>
      <c r="Q50" s="5" t="s">
        <v>270</v>
      </c>
      <c r="R50" s="5">
        <v>200.98400000000004</v>
      </c>
      <c r="S50" s="5">
        <v>7</v>
      </c>
      <c r="T50" s="5">
        <v>0.2</v>
      </c>
      <c r="U50" s="5">
        <v>1125.5104000000003</v>
      </c>
      <c r="V50" s="7">
        <v>62.807499999999976</v>
      </c>
    </row>
    <row r="51" spans="1:22" ht="15.5" x14ac:dyDescent="0.35">
      <c r="A51" s="8">
        <v>85</v>
      </c>
      <c r="B51" s="9" t="s">
        <v>271</v>
      </c>
      <c r="C51" s="10">
        <v>44513</v>
      </c>
      <c r="D51" s="10">
        <v>44516</v>
      </c>
      <c r="E51" s="9" t="s">
        <v>160</v>
      </c>
      <c r="F51" s="9" t="s">
        <v>272</v>
      </c>
      <c r="G51" s="9" t="s">
        <v>273</v>
      </c>
      <c r="H51" s="9" t="s">
        <v>76</v>
      </c>
      <c r="I51" s="9" t="s">
        <v>27</v>
      </c>
      <c r="J51" s="9" t="s">
        <v>274</v>
      </c>
      <c r="K51" s="9" t="s">
        <v>275</v>
      </c>
      <c r="L51" s="9">
        <v>60623</v>
      </c>
      <c r="M51" s="9" t="s">
        <v>79</v>
      </c>
      <c r="N51" s="9" t="s">
        <v>276</v>
      </c>
      <c r="O51" s="9" t="s">
        <v>32</v>
      </c>
      <c r="P51" s="9" t="s">
        <v>44</v>
      </c>
      <c r="Q51" s="9" t="s">
        <v>277</v>
      </c>
      <c r="R51" s="9">
        <v>230.376</v>
      </c>
      <c r="S51" s="9">
        <v>3</v>
      </c>
      <c r="T51" s="9">
        <v>0.2</v>
      </c>
      <c r="U51" s="9">
        <v>552.90240000000006</v>
      </c>
      <c r="V51" s="11">
        <v>-48.954900000000002</v>
      </c>
    </row>
    <row r="52" spans="1:22" ht="15.5" x14ac:dyDescent="0.35">
      <c r="A52" s="4">
        <v>88</v>
      </c>
      <c r="B52" s="5" t="s">
        <v>278</v>
      </c>
      <c r="C52" s="6">
        <v>44495</v>
      </c>
      <c r="D52" s="6">
        <v>44502</v>
      </c>
      <c r="E52" s="5" t="s">
        <v>36</v>
      </c>
      <c r="F52" s="5" t="s">
        <v>279</v>
      </c>
      <c r="G52" s="5" t="s">
        <v>280</v>
      </c>
      <c r="H52" s="5" t="s">
        <v>39</v>
      </c>
      <c r="I52" s="5" t="s">
        <v>27</v>
      </c>
      <c r="J52" s="5" t="s">
        <v>281</v>
      </c>
      <c r="K52" s="5" t="s">
        <v>164</v>
      </c>
      <c r="L52" s="5">
        <v>55901</v>
      </c>
      <c r="M52" s="5" t="s">
        <v>79</v>
      </c>
      <c r="N52" s="5" t="s">
        <v>282</v>
      </c>
      <c r="O52" s="5" t="s">
        <v>32</v>
      </c>
      <c r="P52" s="5" t="s">
        <v>33</v>
      </c>
      <c r="Q52" s="5" t="s">
        <v>283</v>
      </c>
      <c r="R52" s="5">
        <v>6.16</v>
      </c>
      <c r="S52" s="5">
        <v>2</v>
      </c>
      <c r="T52" s="5">
        <v>0</v>
      </c>
      <c r="U52" s="5">
        <v>12.32</v>
      </c>
      <c r="V52" s="7">
        <v>2.9567999999999999</v>
      </c>
    </row>
    <row r="53" spans="1:22" ht="15.5" x14ac:dyDescent="0.35">
      <c r="A53" s="8">
        <v>89</v>
      </c>
      <c r="B53" s="9" t="s">
        <v>284</v>
      </c>
      <c r="C53" s="10">
        <v>43926</v>
      </c>
      <c r="D53" s="10">
        <v>43931</v>
      </c>
      <c r="E53" s="9" t="s">
        <v>23</v>
      </c>
      <c r="F53" s="9" t="s">
        <v>285</v>
      </c>
      <c r="G53" s="9" t="s">
        <v>286</v>
      </c>
      <c r="H53" s="9" t="s">
        <v>76</v>
      </c>
      <c r="I53" s="9" t="s">
        <v>27</v>
      </c>
      <c r="J53" s="9" t="s">
        <v>140</v>
      </c>
      <c r="K53" s="9" t="s">
        <v>78</v>
      </c>
      <c r="L53" s="9">
        <v>77095</v>
      </c>
      <c r="M53" s="9" t="s">
        <v>79</v>
      </c>
      <c r="N53" s="9" t="s">
        <v>287</v>
      </c>
      <c r="O53" s="9" t="s">
        <v>32</v>
      </c>
      <c r="P53" s="9" t="s">
        <v>44</v>
      </c>
      <c r="Q53" s="9" t="s">
        <v>288</v>
      </c>
      <c r="R53" s="9">
        <v>158.36800000000002</v>
      </c>
      <c r="S53" s="9">
        <v>7</v>
      </c>
      <c r="T53" s="9">
        <v>0.2</v>
      </c>
      <c r="U53" s="9">
        <v>886.86080000000015</v>
      </c>
      <c r="V53" s="11">
        <v>13.857199999999999</v>
      </c>
    </row>
    <row r="54" spans="1:22" ht="15.5" x14ac:dyDescent="0.35">
      <c r="A54" s="4">
        <v>90</v>
      </c>
      <c r="B54" s="5" t="s">
        <v>289</v>
      </c>
      <c r="C54" s="6">
        <v>44091</v>
      </c>
      <c r="D54" s="6">
        <v>44096</v>
      </c>
      <c r="E54" s="5" t="s">
        <v>36</v>
      </c>
      <c r="F54" s="5" t="s">
        <v>290</v>
      </c>
      <c r="G54" s="5" t="s">
        <v>291</v>
      </c>
      <c r="H54" s="5" t="s">
        <v>26</v>
      </c>
      <c r="I54" s="5" t="s">
        <v>27</v>
      </c>
      <c r="J54" s="5" t="s">
        <v>28</v>
      </c>
      <c r="K54" s="5" t="s">
        <v>29</v>
      </c>
      <c r="L54" s="5">
        <v>90036</v>
      </c>
      <c r="M54" s="5" t="s">
        <v>30</v>
      </c>
      <c r="N54" s="5" t="s">
        <v>292</v>
      </c>
      <c r="O54" s="5" t="s">
        <v>32</v>
      </c>
      <c r="P54" s="5" t="s">
        <v>50</v>
      </c>
      <c r="Q54" s="5" t="s">
        <v>293</v>
      </c>
      <c r="R54" s="5">
        <v>20.100000000000001</v>
      </c>
      <c r="S54" s="5">
        <v>3</v>
      </c>
      <c r="T54" s="5">
        <v>0</v>
      </c>
      <c r="U54" s="5">
        <v>60.300000000000004</v>
      </c>
      <c r="V54" s="7">
        <v>6.6329999999999982</v>
      </c>
    </row>
    <row r="55" spans="1:22" ht="15.5" x14ac:dyDescent="0.35">
      <c r="A55" s="8">
        <v>92</v>
      </c>
      <c r="B55" s="9" t="s">
        <v>289</v>
      </c>
      <c r="C55" s="10">
        <v>44091</v>
      </c>
      <c r="D55" s="10">
        <v>44096</v>
      </c>
      <c r="E55" s="9" t="s">
        <v>36</v>
      </c>
      <c r="F55" s="9" t="s">
        <v>290</v>
      </c>
      <c r="G55" s="9" t="s">
        <v>291</v>
      </c>
      <c r="H55" s="9" t="s">
        <v>26</v>
      </c>
      <c r="I55" s="9" t="s">
        <v>27</v>
      </c>
      <c r="J55" s="9" t="s">
        <v>28</v>
      </c>
      <c r="K55" s="9" t="s">
        <v>29</v>
      </c>
      <c r="L55" s="9">
        <v>90036</v>
      </c>
      <c r="M55" s="9" t="s">
        <v>30</v>
      </c>
      <c r="N55" s="9" t="s">
        <v>294</v>
      </c>
      <c r="O55" s="9" t="s">
        <v>32</v>
      </c>
      <c r="P55" s="9" t="s">
        <v>64</v>
      </c>
      <c r="Q55" s="9" t="s">
        <v>295</v>
      </c>
      <c r="R55" s="9">
        <v>6.48</v>
      </c>
      <c r="S55" s="9">
        <v>1</v>
      </c>
      <c r="T55" s="9">
        <v>0</v>
      </c>
      <c r="U55" s="9">
        <v>6.48</v>
      </c>
      <c r="V55" s="11">
        <v>3.1104000000000003</v>
      </c>
    </row>
    <row r="56" spans="1:22" ht="15.5" x14ac:dyDescent="0.35">
      <c r="A56" s="4">
        <v>93</v>
      </c>
      <c r="B56" s="5" t="s">
        <v>296</v>
      </c>
      <c r="C56" s="6">
        <v>43496</v>
      </c>
      <c r="D56" s="6">
        <v>43501</v>
      </c>
      <c r="E56" s="5" t="s">
        <v>23</v>
      </c>
      <c r="F56" s="5" t="s">
        <v>297</v>
      </c>
      <c r="G56" s="5" t="s">
        <v>298</v>
      </c>
      <c r="H56" s="5" t="s">
        <v>39</v>
      </c>
      <c r="I56" s="5" t="s">
        <v>27</v>
      </c>
      <c r="J56" s="5" t="s">
        <v>299</v>
      </c>
      <c r="K56" s="5" t="s">
        <v>164</v>
      </c>
      <c r="L56" s="5">
        <v>55407</v>
      </c>
      <c r="M56" s="5" t="s">
        <v>79</v>
      </c>
      <c r="N56" s="5" t="s">
        <v>300</v>
      </c>
      <c r="O56" s="5" t="s">
        <v>32</v>
      </c>
      <c r="P56" s="5" t="s">
        <v>64</v>
      </c>
      <c r="Q56" s="5" t="s">
        <v>301</v>
      </c>
      <c r="R56" s="5">
        <v>12.96</v>
      </c>
      <c r="S56" s="5">
        <v>2</v>
      </c>
      <c r="T56" s="5">
        <v>0</v>
      </c>
      <c r="U56" s="5">
        <v>25.92</v>
      </c>
      <c r="V56" s="7">
        <v>6.2208000000000006</v>
      </c>
    </row>
    <row r="57" spans="1:22" ht="15.5" x14ac:dyDescent="0.35">
      <c r="A57" s="8">
        <v>95</v>
      </c>
      <c r="B57" s="9" t="s">
        <v>296</v>
      </c>
      <c r="C57" s="10">
        <v>43496</v>
      </c>
      <c r="D57" s="10">
        <v>43501</v>
      </c>
      <c r="E57" s="9" t="s">
        <v>23</v>
      </c>
      <c r="F57" s="9" t="s">
        <v>297</v>
      </c>
      <c r="G57" s="9" t="s">
        <v>298</v>
      </c>
      <c r="H57" s="9" t="s">
        <v>39</v>
      </c>
      <c r="I57" s="9" t="s">
        <v>27</v>
      </c>
      <c r="J57" s="9" t="s">
        <v>299</v>
      </c>
      <c r="K57" s="9" t="s">
        <v>164</v>
      </c>
      <c r="L57" s="9">
        <v>55407</v>
      </c>
      <c r="M57" s="9" t="s">
        <v>79</v>
      </c>
      <c r="N57" s="9" t="s">
        <v>302</v>
      </c>
      <c r="O57" s="9" t="s">
        <v>32</v>
      </c>
      <c r="P57" s="9" t="s">
        <v>53</v>
      </c>
      <c r="Q57" s="9" t="s">
        <v>303</v>
      </c>
      <c r="R57" s="9">
        <v>32.96</v>
      </c>
      <c r="S57" s="9">
        <v>2</v>
      </c>
      <c r="T57" s="9">
        <v>0</v>
      </c>
      <c r="U57" s="9">
        <v>65.92</v>
      </c>
      <c r="V57" s="11">
        <v>16.150400000000001</v>
      </c>
    </row>
    <row r="58" spans="1:22" ht="15.5" x14ac:dyDescent="0.35">
      <c r="A58" s="4">
        <v>96</v>
      </c>
      <c r="B58" s="5" t="s">
        <v>304</v>
      </c>
      <c r="C58" s="6">
        <v>44506</v>
      </c>
      <c r="D58" s="6">
        <v>44512</v>
      </c>
      <c r="E58" s="5" t="s">
        <v>36</v>
      </c>
      <c r="F58" s="5" t="s">
        <v>305</v>
      </c>
      <c r="G58" s="5" t="s">
        <v>306</v>
      </c>
      <c r="H58" s="5" t="s">
        <v>76</v>
      </c>
      <c r="I58" s="5" t="s">
        <v>27</v>
      </c>
      <c r="J58" s="5" t="s">
        <v>307</v>
      </c>
      <c r="K58" s="5" t="s">
        <v>308</v>
      </c>
      <c r="L58" s="5">
        <v>97206</v>
      </c>
      <c r="M58" s="5" t="s">
        <v>30</v>
      </c>
      <c r="N58" s="5" t="s">
        <v>309</v>
      </c>
      <c r="O58" s="5" t="s">
        <v>32</v>
      </c>
      <c r="P58" s="5" t="s">
        <v>53</v>
      </c>
      <c r="Q58" s="5" t="s">
        <v>310</v>
      </c>
      <c r="R58" s="5">
        <v>5.6820000000000013</v>
      </c>
      <c r="S58" s="5">
        <v>1</v>
      </c>
      <c r="T58" s="5">
        <v>0.7</v>
      </c>
      <c r="U58" s="5">
        <v>1.7046000000000006</v>
      </c>
      <c r="V58" s="7">
        <v>-3.7880000000000003</v>
      </c>
    </row>
    <row r="59" spans="1:22" ht="15.5" x14ac:dyDescent="0.35">
      <c r="A59" s="8">
        <v>98</v>
      </c>
      <c r="B59" s="9" t="s">
        <v>311</v>
      </c>
      <c r="C59" s="10">
        <v>44364</v>
      </c>
      <c r="D59" s="10">
        <v>44367</v>
      </c>
      <c r="E59" s="9" t="s">
        <v>160</v>
      </c>
      <c r="F59" s="9" t="s">
        <v>312</v>
      </c>
      <c r="G59" s="9" t="s">
        <v>313</v>
      </c>
      <c r="H59" s="9" t="s">
        <v>39</v>
      </c>
      <c r="I59" s="9" t="s">
        <v>27</v>
      </c>
      <c r="J59" s="9" t="s">
        <v>101</v>
      </c>
      <c r="K59" s="9" t="s">
        <v>29</v>
      </c>
      <c r="L59" s="9">
        <v>94122</v>
      </c>
      <c r="M59" s="9" t="s">
        <v>30</v>
      </c>
      <c r="N59" s="9" t="s">
        <v>314</v>
      </c>
      <c r="O59" s="9" t="s">
        <v>32</v>
      </c>
      <c r="P59" s="9" t="s">
        <v>53</v>
      </c>
      <c r="Q59" s="9" t="s">
        <v>315</v>
      </c>
      <c r="R59" s="9">
        <v>51.311999999999998</v>
      </c>
      <c r="S59" s="9">
        <v>3</v>
      </c>
      <c r="T59" s="9">
        <v>0.2</v>
      </c>
      <c r="U59" s="9">
        <v>123.14879999999998</v>
      </c>
      <c r="V59" s="11">
        <v>17.959199999999999</v>
      </c>
    </row>
    <row r="60" spans="1:22" ht="15.5" x14ac:dyDescent="0.35">
      <c r="A60" s="4">
        <v>99</v>
      </c>
      <c r="B60" s="5" t="s">
        <v>316</v>
      </c>
      <c r="C60" s="6">
        <v>44080</v>
      </c>
      <c r="D60" s="6">
        <v>44085</v>
      </c>
      <c r="E60" s="5" t="s">
        <v>36</v>
      </c>
      <c r="F60" s="5" t="s">
        <v>317</v>
      </c>
      <c r="G60" s="5" t="s">
        <v>318</v>
      </c>
      <c r="H60" s="5" t="s">
        <v>26</v>
      </c>
      <c r="I60" s="5" t="s">
        <v>27</v>
      </c>
      <c r="J60" s="5" t="s">
        <v>319</v>
      </c>
      <c r="K60" s="5" t="s">
        <v>164</v>
      </c>
      <c r="L60" s="5">
        <v>55106</v>
      </c>
      <c r="M60" s="5" t="s">
        <v>79</v>
      </c>
      <c r="N60" s="5" t="s">
        <v>320</v>
      </c>
      <c r="O60" s="5" t="s">
        <v>32</v>
      </c>
      <c r="P60" s="5" t="s">
        <v>56</v>
      </c>
      <c r="Q60" s="5" t="s">
        <v>321</v>
      </c>
      <c r="R60" s="5">
        <v>77.88</v>
      </c>
      <c r="S60" s="5">
        <v>6</v>
      </c>
      <c r="T60" s="5">
        <v>0</v>
      </c>
      <c r="U60" s="5">
        <v>467.28</v>
      </c>
      <c r="V60" s="7">
        <v>22.585199999999993</v>
      </c>
    </row>
    <row r="61" spans="1:22" ht="15.5" x14ac:dyDescent="0.35">
      <c r="A61" s="8">
        <v>100</v>
      </c>
      <c r="B61" s="9" t="s">
        <v>322</v>
      </c>
      <c r="C61" s="10">
        <v>44072</v>
      </c>
      <c r="D61" s="10">
        <v>44076</v>
      </c>
      <c r="E61" s="9" t="s">
        <v>36</v>
      </c>
      <c r="F61" s="9" t="s">
        <v>323</v>
      </c>
      <c r="G61" s="9" t="s">
        <v>324</v>
      </c>
      <c r="H61" s="9" t="s">
        <v>76</v>
      </c>
      <c r="I61" s="9" t="s">
        <v>27</v>
      </c>
      <c r="J61" s="9" t="s">
        <v>274</v>
      </c>
      <c r="K61" s="9" t="s">
        <v>275</v>
      </c>
      <c r="L61" s="9">
        <v>60610</v>
      </c>
      <c r="M61" s="9" t="s">
        <v>79</v>
      </c>
      <c r="N61" s="9" t="s">
        <v>325</v>
      </c>
      <c r="O61" s="9" t="s">
        <v>32</v>
      </c>
      <c r="P61" s="9" t="s">
        <v>64</v>
      </c>
      <c r="Q61" s="9" t="s">
        <v>326</v>
      </c>
      <c r="R61" s="9">
        <v>64.623999999999995</v>
      </c>
      <c r="S61" s="9">
        <v>7</v>
      </c>
      <c r="T61" s="9">
        <v>0.2</v>
      </c>
      <c r="U61" s="9">
        <v>361.89439999999996</v>
      </c>
      <c r="V61" s="11">
        <v>22.618399999999994</v>
      </c>
    </row>
    <row r="62" spans="1:22" ht="15.5" x14ac:dyDescent="0.35">
      <c r="A62" s="4">
        <v>102</v>
      </c>
      <c r="B62" s="5" t="s">
        <v>322</v>
      </c>
      <c r="C62" s="6">
        <v>44072</v>
      </c>
      <c r="D62" s="6">
        <v>44076</v>
      </c>
      <c r="E62" s="5" t="s">
        <v>36</v>
      </c>
      <c r="F62" s="5" t="s">
        <v>323</v>
      </c>
      <c r="G62" s="5" t="s">
        <v>324</v>
      </c>
      <c r="H62" s="5" t="s">
        <v>76</v>
      </c>
      <c r="I62" s="5" t="s">
        <v>27</v>
      </c>
      <c r="J62" s="5" t="s">
        <v>274</v>
      </c>
      <c r="K62" s="5" t="s">
        <v>275</v>
      </c>
      <c r="L62" s="5">
        <v>60610</v>
      </c>
      <c r="M62" s="5" t="s">
        <v>79</v>
      </c>
      <c r="N62" s="5" t="s">
        <v>327</v>
      </c>
      <c r="O62" s="5" t="s">
        <v>32</v>
      </c>
      <c r="P62" s="5" t="s">
        <v>53</v>
      </c>
      <c r="Q62" s="5" t="s">
        <v>328</v>
      </c>
      <c r="R62" s="5">
        <v>1.7879999999999996</v>
      </c>
      <c r="S62" s="5">
        <v>3</v>
      </c>
      <c r="T62" s="5">
        <v>0.8</v>
      </c>
      <c r="U62" s="5">
        <v>1.0728</v>
      </c>
      <c r="V62" s="7">
        <v>-3.0396000000000001</v>
      </c>
    </row>
    <row r="63" spans="1:22" ht="15.5" x14ac:dyDescent="0.35">
      <c r="A63" s="8">
        <v>103</v>
      </c>
      <c r="B63" s="9" t="s">
        <v>329</v>
      </c>
      <c r="C63" s="10">
        <v>44166</v>
      </c>
      <c r="D63" s="10">
        <v>44169</v>
      </c>
      <c r="E63" s="9" t="s">
        <v>23</v>
      </c>
      <c r="F63" s="9" t="s">
        <v>330</v>
      </c>
      <c r="G63" s="9" t="s">
        <v>331</v>
      </c>
      <c r="H63" s="9" t="s">
        <v>39</v>
      </c>
      <c r="I63" s="9" t="s">
        <v>27</v>
      </c>
      <c r="J63" s="9" t="s">
        <v>281</v>
      </c>
      <c r="K63" s="9" t="s">
        <v>164</v>
      </c>
      <c r="L63" s="9">
        <v>55901</v>
      </c>
      <c r="M63" s="9" t="s">
        <v>79</v>
      </c>
      <c r="N63" s="9" t="s">
        <v>332</v>
      </c>
      <c r="O63" s="9" t="s">
        <v>32</v>
      </c>
      <c r="P63" s="9" t="s">
        <v>64</v>
      </c>
      <c r="Q63" s="9" t="s">
        <v>333</v>
      </c>
      <c r="R63" s="9">
        <v>23.92</v>
      </c>
      <c r="S63" s="9">
        <v>4</v>
      </c>
      <c r="T63" s="9">
        <v>0</v>
      </c>
      <c r="U63" s="9">
        <v>95.68</v>
      </c>
      <c r="V63" s="11">
        <v>11.720800000000001</v>
      </c>
    </row>
    <row r="64" spans="1:22" ht="15.5" x14ac:dyDescent="0.35">
      <c r="A64" s="4">
        <v>106</v>
      </c>
      <c r="B64" s="5" t="s">
        <v>334</v>
      </c>
      <c r="C64" s="6">
        <v>43782</v>
      </c>
      <c r="D64" s="6">
        <v>43786</v>
      </c>
      <c r="E64" s="5" t="s">
        <v>36</v>
      </c>
      <c r="F64" s="5" t="s">
        <v>335</v>
      </c>
      <c r="G64" s="5" t="s">
        <v>336</v>
      </c>
      <c r="H64" s="5" t="s">
        <v>39</v>
      </c>
      <c r="I64" s="5" t="s">
        <v>27</v>
      </c>
      <c r="J64" s="5" t="s">
        <v>337</v>
      </c>
      <c r="K64" s="5" t="s">
        <v>338</v>
      </c>
      <c r="L64" s="5">
        <v>80013</v>
      </c>
      <c r="M64" s="5" t="s">
        <v>30</v>
      </c>
      <c r="N64" s="5" t="s">
        <v>339</v>
      </c>
      <c r="O64" s="5" t="s">
        <v>32</v>
      </c>
      <c r="P64" s="5" t="s">
        <v>53</v>
      </c>
      <c r="Q64" s="5" t="s">
        <v>340</v>
      </c>
      <c r="R64" s="5">
        <v>36.882000000000005</v>
      </c>
      <c r="S64" s="5">
        <v>3</v>
      </c>
      <c r="T64" s="5">
        <v>0.7</v>
      </c>
      <c r="U64" s="5">
        <v>33.19380000000001</v>
      </c>
      <c r="V64" s="7">
        <v>-25.817399999999999</v>
      </c>
    </row>
    <row r="65" spans="1:22" ht="15.5" x14ac:dyDescent="0.35">
      <c r="A65" s="8">
        <v>109</v>
      </c>
      <c r="B65" s="9" t="s">
        <v>341</v>
      </c>
      <c r="C65" s="10">
        <v>44523</v>
      </c>
      <c r="D65" s="10">
        <v>44528</v>
      </c>
      <c r="E65" s="9" t="s">
        <v>36</v>
      </c>
      <c r="F65" s="9" t="s">
        <v>342</v>
      </c>
      <c r="G65" s="9" t="s">
        <v>343</v>
      </c>
      <c r="H65" s="9" t="s">
        <v>39</v>
      </c>
      <c r="I65" s="9" t="s">
        <v>27</v>
      </c>
      <c r="J65" s="9" t="s">
        <v>344</v>
      </c>
      <c r="K65" s="9" t="s">
        <v>62</v>
      </c>
      <c r="L65" s="9">
        <v>28205</v>
      </c>
      <c r="M65" s="9" t="s">
        <v>42</v>
      </c>
      <c r="N65" s="9" t="s">
        <v>345</v>
      </c>
      <c r="O65" s="9" t="s">
        <v>32</v>
      </c>
      <c r="P65" s="9" t="s">
        <v>50</v>
      </c>
      <c r="Q65" s="9" t="s">
        <v>346</v>
      </c>
      <c r="R65" s="9">
        <v>3.3040000000000003</v>
      </c>
      <c r="S65" s="9">
        <v>1</v>
      </c>
      <c r="T65" s="9">
        <v>0.2</v>
      </c>
      <c r="U65" s="9">
        <v>2.6432000000000002</v>
      </c>
      <c r="V65" s="11">
        <v>1.0737999999999999</v>
      </c>
    </row>
    <row r="66" spans="1:22" ht="15.5" x14ac:dyDescent="0.35">
      <c r="A66" s="4">
        <v>112</v>
      </c>
      <c r="B66" s="5" t="s">
        <v>347</v>
      </c>
      <c r="C66" s="6">
        <v>44138</v>
      </c>
      <c r="D66" s="6">
        <v>44145</v>
      </c>
      <c r="E66" s="5" t="s">
        <v>36</v>
      </c>
      <c r="F66" s="5" t="s">
        <v>348</v>
      </c>
      <c r="G66" s="5" t="s">
        <v>349</v>
      </c>
      <c r="H66" s="5" t="s">
        <v>39</v>
      </c>
      <c r="I66" s="5" t="s">
        <v>27</v>
      </c>
      <c r="J66" s="5" t="s">
        <v>350</v>
      </c>
      <c r="K66" s="5" t="s">
        <v>351</v>
      </c>
      <c r="L66" s="5">
        <v>50322</v>
      </c>
      <c r="M66" s="5" t="s">
        <v>79</v>
      </c>
      <c r="N66" s="5" t="s">
        <v>352</v>
      </c>
      <c r="O66" s="5" t="s">
        <v>32</v>
      </c>
      <c r="P66" s="5" t="s">
        <v>50</v>
      </c>
      <c r="Q66" s="5" t="s">
        <v>353</v>
      </c>
      <c r="R66" s="5">
        <v>75.959999999999994</v>
      </c>
      <c r="S66" s="5">
        <v>2</v>
      </c>
      <c r="T66" s="5">
        <v>0</v>
      </c>
      <c r="U66" s="5">
        <v>151.91999999999999</v>
      </c>
      <c r="V66" s="7">
        <v>22.78799999999999</v>
      </c>
    </row>
    <row r="67" spans="1:22" ht="15.5" x14ac:dyDescent="0.35">
      <c r="A67" s="8">
        <v>113</v>
      </c>
      <c r="B67" s="9" t="s">
        <v>347</v>
      </c>
      <c r="C67" s="10">
        <v>44138</v>
      </c>
      <c r="D67" s="10">
        <v>44145</v>
      </c>
      <c r="E67" s="9" t="s">
        <v>36</v>
      </c>
      <c r="F67" s="9" t="s">
        <v>348</v>
      </c>
      <c r="G67" s="9" t="s">
        <v>349</v>
      </c>
      <c r="H67" s="9" t="s">
        <v>39</v>
      </c>
      <c r="I67" s="9" t="s">
        <v>27</v>
      </c>
      <c r="J67" s="9" t="s">
        <v>350</v>
      </c>
      <c r="K67" s="9" t="s">
        <v>351</v>
      </c>
      <c r="L67" s="9">
        <v>50322</v>
      </c>
      <c r="M67" s="9" t="s">
        <v>79</v>
      </c>
      <c r="N67" s="9" t="s">
        <v>354</v>
      </c>
      <c r="O67" s="9" t="s">
        <v>32</v>
      </c>
      <c r="P67" s="9" t="s">
        <v>53</v>
      </c>
      <c r="Q67" s="9" t="s">
        <v>355</v>
      </c>
      <c r="R67" s="9">
        <v>27.240000000000002</v>
      </c>
      <c r="S67" s="9">
        <v>6</v>
      </c>
      <c r="T67" s="9">
        <v>0</v>
      </c>
      <c r="U67" s="9">
        <v>163.44</v>
      </c>
      <c r="V67" s="11">
        <v>13.3476</v>
      </c>
    </row>
    <row r="68" spans="1:22" ht="15.5" x14ac:dyDescent="0.35">
      <c r="A68" s="4">
        <v>114</v>
      </c>
      <c r="B68" s="5" t="s">
        <v>356</v>
      </c>
      <c r="C68" s="6">
        <v>43337</v>
      </c>
      <c r="D68" s="6">
        <v>43339</v>
      </c>
      <c r="E68" s="5" t="s">
        <v>23</v>
      </c>
      <c r="F68" s="5" t="s">
        <v>357</v>
      </c>
      <c r="G68" s="5" t="s">
        <v>358</v>
      </c>
      <c r="H68" s="5" t="s">
        <v>39</v>
      </c>
      <c r="I68" s="5" t="s">
        <v>27</v>
      </c>
      <c r="J68" s="5" t="s">
        <v>359</v>
      </c>
      <c r="K68" s="5" t="s">
        <v>360</v>
      </c>
      <c r="L68" s="5">
        <v>43229</v>
      </c>
      <c r="M68" s="5" t="s">
        <v>125</v>
      </c>
      <c r="N68" s="5" t="s">
        <v>361</v>
      </c>
      <c r="O68" s="5" t="s">
        <v>32</v>
      </c>
      <c r="P68" s="5" t="s">
        <v>189</v>
      </c>
      <c r="Q68" s="5" t="s">
        <v>362</v>
      </c>
      <c r="R68" s="5">
        <v>40.096000000000004</v>
      </c>
      <c r="S68" s="5">
        <v>14</v>
      </c>
      <c r="T68" s="5">
        <v>0.2</v>
      </c>
      <c r="U68" s="5">
        <v>449.07520000000005</v>
      </c>
      <c r="V68" s="7">
        <v>14.534799999999997</v>
      </c>
    </row>
    <row r="69" spans="1:22" ht="15.5" x14ac:dyDescent="0.35">
      <c r="A69" s="8">
        <v>115</v>
      </c>
      <c r="B69" s="9" t="s">
        <v>356</v>
      </c>
      <c r="C69" s="10">
        <v>43337</v>
      </c>
      <c r="D69" s="10">
        <v>43339</v>
      </c>
      <c r="E69" s="9" t="s">
        <v>23</v>
      </c>
      <c r="F69" s="9" t="s">
        <v>357</v>
      </c>
      <c r="G69" s="9" t="s">
        <v>358</v>
      </c>
      <c r="H69" s="9" t="s">
        <v>39</v>
      </c>
      <c r="I69" s="9" t="s">
        <v>27</v>
      </c>
      <c r="J69" s="9" t="s">
        <v>359</v>
      </c>
      <c r="K69" s="9" t="s">
        <v>360</v>
      </c>
      <c r="L69" s="9">
        <v>43229</v>
      </c>
      <c r="M69" s="9" t="s">
        <v>125</v>
      </c>
      <c r="N69" s="9" t="s">
        <v>363</v>
      </c>
      <c r="O69" s="9" t="s">
        <v>32</v>
      </c>
      <c r="P69" s="9" t="s">
        <v>129</v>
      </c>
      <c r="Q69" s="9" t="s">
        <v>364</v>
      </c>
      <c r="R69" s="9">
        <v>4.7200000000000006</v>
      </c>
      <c r="S69" s="9">
        <v>2</v>
      </c>
      <c r="T69" s="9">
        <v>0.2</v>
      </c>
      <c r="U69" s="9">
        <v>7.5520000000000014</v>
      </c>
      <c r="V69" s="11">
        <v>1.6519999999999997</v>
      </c>
    </row>
    <row r="70" spans="1:22" ht="15.5" x14ac:dyDescent="0.35">
      <c r="A70" s="4">
        <v>116</v>
      </c>
      <c r="B70" s="5" t="s">
        <v>356</v>
      </c>
      <c r="C70" s="6">
        <v>43337</v>
      </c>
      <c r="D70" s="6">
        <v>43339</v>
      </c>
      <c r="E70" s="5" t="s">
        <v>23</v>
      </c>
      <c r="F70" s="5" t="s">
        <v>357</v>
      </c>
      <c r="G70" s="5" t="s">
        <v>358</v>
      </c>
      <c r="H70" s="5" t="s">
        <v>39</v>
      </c>
      <c r="I70" s="5" t="s">
        <v>27</v>
      </c>
      <c r="J70" s="5" t="s">
        <v>359</v>
      </c>
      <c r="K70" s="5" t="s">
        <v>360</v>
      </c>
      <c r="L70" s="5">
        <v>43229</v>
      </c>
      <c r="M70" s="5" t="s">
        <v>125</v>
      </c>
      <c r="N70" s="5" t="s">
        <v>365</v>
      </c>
      <c r="O70" s="5" t="s">
        <v>32</v>
      </c>
      <c r="P70" s="5" t="s">
        <v>64</v>
      </c>
      <c r="Q70" s="5" t="s">
        <v>366</v>
      </c>
      <c r="R70" s="5">
        <v>23.976000000000003</v>
      </c>
      <c r="S70" s="5">
        <v>3</v>
      </c>
      <c r="T70" s="5">
        <v>0.2</v>
      </c>
      <c r="U70" s="5">
        <v>57.542400000000008</v>
      </c>
      <c r="V70" s="7">
        <v>7.4924999999999988</v>
      </c>
    </row>
    <row r="71" spans="1:22" ht="15.5" x14ac:dyDescent="0.35">
      <c r="A71" s="8">
        <v>117</v>
      </c>
      <c r="B71" s="9" t="s">
        <v>356</v>
      </c>
      <c r="C71" s="10">
        <v>43337</v>
      </c>
      <c r="D71" s="10">
        <v>43339</v>
      </c>
      <c r="E71" s="9" t="s">
        <v>23</v>
      </c>
      <c r="F71" s="9" t="s">
        <v>357</v>
      </c>
      <c r="G71" s="9" t="s">
        <v>358</v>
      </c>
      <c r="H71" s="9" t="s">
        <v>39</v>
      </c>
      <c r="I71" s="9" t="s">
        <v>27</v>
      </c>
      <c r="J71" s="9" t="s">
        <v>359</v>
      </c>
      <c r="K71" s="9" t="s">
        <v>360</v>
      </c>
      <c r="L71" s="9">
        <v>43229</v>
      </c>
      <c r="M71" s="9" t="s">
        <v>125</v>
      </c>
      <c r="N71" s="9" t="s">
        <v>367</v>
      </c>
      <c r="O71" s="9" t="s">
        <v>32</v>
      </c>
      <c r="P71" s="9" t="s">
        <v>129</v>
      </c>
      <c r="Q71" s="9" t="s">
        <v>368</v>
      </c>
      <c r="R71" s="9">
        <v>130.464</v>
      </c>
      <c r="S71" s="9">
        <v>6</v>
      </c>
      <c r="T71" s="9">
        <v>0.2</v>
      </c>
      <c r="U71" s="9">
        <v>626.22720000000004</v>
      </c>
      <c r="V71" s="11">
        <v>44.031599999999997</v>
      </c>
    </row>
    <row r="72" spans="1:22" ht="15.5" x14ac:dyDescent="0.35">
      <c r="A72" s="4">
        <v>119</v>
      </c>
      <c r="B72" s="5" t="s">
        <v>369</v>
      </c>
      <c r="C72" s="6">
        <v>43560</v>
      </c>
      <c r="D72" s="6">
        <v>43565</v>
      </c>
      <c r="E72" s="5" t="s">
        <v>36</v>
      </c>
      <c r="F72" s="5" t="s">
        <v>370</v>
      </c>
      <c r="G72" s="5" t="s">
        <v>371</v>
      </c>
      <c r="H72" s="5" t="s">
        <v>26</v>
      </c>
      <c r="I72" s="5" t="s">
        <v>27</v>
      </c>
      <c r="J72" s="5" t="s">
        <v>372</v>
      </c>
      <c r="K72" s="5" t="s">
        <v>239</v>
      </c>
      <c r="L72" s="5">
        <v>37620</v>
      </c>
      <c r="M72" s="5" t="s">
        <v>42</v>
      </c>
      <c r="N72" s="5" t="s">
        <v>373</v>
      </c>
      <c r="O72" s="5" t="s">
        <v>32</v>
      </c>
      <c r="P72" s="5" t="s">
        <v>53</v>
      </c>
      <c r="Q72" s="5" t="s">
        <v>374</v>
      </c>
      <c r="R72" s="5">
        <v>157.79400000000004</v>
      </c>
      <c r="S72" s="5">
        <v>1</v>
      </c>
      <c r="T72" s="5">
        <v>0.7</v>
      </c>
      <c r="U72" s="5">
        <v>47.338200000000015</v>
      </c>
      <c r="V72" s="7">
        <v>-115.71559999999999</v>
      </c>
    </row>
    <row r="73" spans="1:22" ht="15.5" x14ac:dyDescent="0.35">
      <c r="A73" s="8">
        <v>121</v>
      </c>
      <c r="B73" s="9" t="s">
        <v>375</v>
      </c>
      <c r="C73" s="10">
        <v>43994</v>
      </c>
      <c r="D73" s="10">
        <v>43997</v>
      </c>
      <c r="E73" s="9" t="s">
        <v>160</v>
      </c>
      <c r="F73" s="9" t="s">
        <v>376</v>
      </c>
      <c r="G73" s="9" t="s">
        <v>377</v>
      </c>
      <c r="H73" s="9" t="s">
        <v>39</v>
      </c>
      <c r="I73" s="9" t="s">
        <v>27</v>
      </c>
      <c r="J73" s="9" t="s">
        <v>378</v>
      </c>
      <c r="K73" s="9" t="s">
        <v>379</v>
      </c>
      <c r="L73" s="9">
        <v>19805</v>
      </c>
      <c r="M73" s="9" t="s">
        <v>125</v>
      </c>
      <c r="N73" s="9" t="s">
        <v>52</v>
      </c>
      <c r="O73" s="9" t="s">
        <v>32</v>
      </c>
      <c r="P73" s="9" t="s">
        <v>53</v>
      </c>
      <c r="Q73" s="9" t="s">
        <v>54</v>
      </c>
      <c r="R73" s="9">
        <v>30.84</v>
      </c>
      <c r="S73" s="9">
        <v>4</v>
      </c>
      <c r="T73" s="9">
        <v>0</v>
      </c>
      <c r="U73" s="9">
        <v>123.36</v>
      </c>
      <c r="V73" s="11">
        <v>13.878</v>
      </c>
    </row>
    <row r="74" spans="1:22" ht="15.5" x14ac:dyDescent="0.35">
      <c r="A74" s="4">
        <v>122</v>
      </c>
      <c r="B74" s="5" t="s">
        <v>375</v>
      </c>
      <c r="C74" s="6">
        <v>43994</v>
      </c>
      <c r="D74" s="6">
        <v>43997</v>
      </c>
      <c r="E74" s="5" t="s">
        <v>160</v>
      </c>
      <c r="F74" s="5" t="s">
        <v>376</v>
      </c>
      <c r="G74" s="5" t="s">
        <v>377</v>
      </c>
      <c r="H74" s="5" t="s">
        <v>39</v>
      </c>
      <c r="I74" s="5" t="s">
        <v>27</v>
      </c>
      <c r="J74" s="5" t="s">
        <v>378</v>
      </c>
      <c r="K74" s="5" t="s">
        <v>379</v>
      </c>
      <c r="L74" s="5">
        <v>19805</v>
      </c>
      <c r="M74" s="5" t="s">
        <v>125</v>
      </c>
      <c r="N74" s="5" t="s">
        <v>380</v>
      </c>
      <c r="O74" s="5" t="s">
        <v>32</v>
      </c>
      <c r="P74" s="5" t="s">
        <v>44</v>
      </c>
      <c r="Q74" s="5" t="s">
        <v>381</v>
      </c>
      <c r="R74" s="5">
        <v>226.56</v>
      </c>
      <c r="S74" s="5">
        <v>6</v>
      </c>
      <c r="T74" s="5">
        <v>0</v>
      </c>
      <c r="U74" s="5">
        <v>1359.3600000000001</v>
      </c>
      <c r="V74" s="7">
        <v>63.436800000000005</v>
      </c>
    </row>
    <row r="75" spans="1:22" ht="15.5" x14ac:dyDescent="0.35">
      <c r="A75" s="8">
        <v>123</v>
      </c>
      <c r="B75" s="9" t="s">
        <v>375</v>
      </c>
      <c r="C75" s="10">
        <v>43994</v>
      </c>
      <c r="D75" s="10">
        <v>43997</v>
      </c>
      <c r="E75" s="9" t="s">
        <v>160</v>
      </c>
      <c r="F75" s="9" t="s">
        <v>376</v>
      </c>
      <c r="G75" s="9" t="s">
        <v>377</v>
      </c>
      <c r="H75" s="9" t="s">
        <v>39</v>
      </c>
      <c r="I75" s="9" t="s">
        <v>27</v>
      </c>
      <c r="J75" s="9" t="s">
        <v>378</v>
      </c>
      <c r="K75" s="9" t="s">
        <v>379</v>
      </c>
      <c r="L75" s="9">
        <v>19805</v>
      </c>
      <c r="M75" s="9" t="s">
        <v>125</v>
      </c>
      <c r="N75" s="9" t="s">
        <v>382</v>
      </c>
      <c r="O75" s="9" t="s">
        <v>32</v>
      </c>
      <c r="P75" s="9" t="s">
        <v>129</v>
      </c>
      <c r="Q75" s="9" t="s">
        <v>383</v>
      </c>
      <c r="R75" s="9">
        <v>115.02</v>
      </c>
      <c r="S75" s="9">
        <v>9</v>
      </c>
      <c r="T75" s="9">
        <v>0</v>
      </c>
      <c r="U75" s="9">
        <v>1035.18</v>
      </c>
      <c r="V75" s="11">
        <v>51.758999999999993</v>
      </c>
    </row>
    <row r="76" spans="1:22" ht="15.5" x14ac:dyDescent="0.35">
      <c r="A76" s="4">
        <v>127</v>
      </c>
      <c r="B76" s="5" t="s">
        <v>384</v>
      </c>
      <c r="C76" s="6">
        <v>44505</v>
      </c>
      <c r="D76" s="6">
        <v>44512</v>
      </c>
      <c r="E76" s="5" t="s">
        <v>36</v>
      </c>
      <c r="F76" s="5" t="s">
        <v>385</v>
      </c>
      <c r="G76" s="5" t="s">
        <v>386</v>
      </c>
      <c r="H76" s="5" t="s">
        <v>39</v>
      </c>
      <c r="I76" s="5" t="s">
        <v>27</v>
      </c>
      <c r="J76" s="5" t="s">
        <v>387</v>
      </c>
      <c r="K76" s="5" t="s">
        <v>216</v>
      </c>
      <c r="L76" s="5">
        <v>85023</v>
      </c>
      <c r="M76" s="5" t="s">
        <v>30</v>
      </c>
      <c r="N76" s="5" t="s">
        <v>388</v>
      </c>
      <c r="O76" s="5" t="s">
        <v>32</v>
      </c>
      <c r="P76" s="5" t="s">
        <v>53</v>
      </c>
      <c r="Q76" s="5" t="s">
        <v>389</v>
      </c>
      <c r="R76" s="5">
        <v>2.3880000000000003</v>
      </c>
      <c r="S76" s="5">
        <v>2</v>
      </c>
      <c r="T76" s="5">
        <v>0.7</v>
      </c>
      <c r="U76" s="5">
        <v>1.4328000000000003</v>
      </c>
      <c r="V76" s="7">
        <v>-1.8308</v>
      </c>
    </row>
    <row r="77" spans="1:22" ht="15.5" x14ac:dyDescent="0.35">
      <c r="A77" s="8">
        <v>128</v>
      </c>
      <c r="B77" s="9" t="s">
        <v>384</v>
      </c>
      <c r="C77" s="10">
        <v>44505</v>
      </c>
      <c r="D77" s="10">
        <v>44512</v>
      </c>
      <c r="E77" s="9" t="s">
        <v>36</v>
      </c>
      <c r="F77" s="9" t="s">
        <v>385</v>
      </c>
      <c r="G77" s="9" t="s">
        <v>386</v>
      </c>
      <c r="H77" s="9" t="s">
        <v>39</v>
      </c>
      <c r="I77" s="9" t="s">
        <v>27</v>
      </c>
      <c r="J77" s="9" t="s">
        <v>387</v>
      </c>
      <c r="K77" s="9" t="s">
        <v>216</v>
      </c>
      <c r="L77" s="9">
        <v>85023</v>
      </c>
      <c r="M77" s="9" t="s">
        <v>30</v>
      </c>
      <c r="N77" s="9" t="s">
        <v>390</v>
      </c>
      <c r="O77" s="9" t="s">
        <v>32</v>
      </c>
      <c r="P77" s="9" t="s">
        <v>44</v>
      </c>
      <c r="Q77" s="9" t="s">
        <v>391</v>
      </c>
      <c r="R77" s="9">
        <v>243.99200000000002</v>
      </c>
      <c r="S77" s="9">
        <v>7</v>
      </c>
      <c r="T77" s="9">
        <v>0.2</v>
      </c>
      <c r="U77" s="9">
        <v>1366.3552000000002</v>
      </c>
      <c r="V77" s="11">
        <v>30.498999999999981</v>
      </c>
    </row>
    <row r="78" spans="1:22" ht="15.5" x14ac:dyDescent="0.35">
      <c r="A78" s="4">
        <v>132</v>
      </c>
      <c r="B78" s="5" t="s">
        <v>392</v>
      </c>
      <c r="C78" s="6">
        <v>44229</v>
      </c>
      <c r="D78" s="6">
        <v>44232</v>
      </c>
      <c r="E78" s="5" t="s">
        <v>160</v>
      </c>
      <c r="F78" s="5" t="s">
        <v>393</v>
      </c>
      <c r="G78" s="5" t="s">
        <v>394</v>
      </c>
      <c r="H78" s="5" t="s">
        <v>26</v>
      </c>
      <c r="I78" s="5" t="s">
        <v>27</v>
      </c>
      <c r="J78" s="5" t="s">
        <v>359</v>
      </c>
      <c r="K78" s="5" t="s">
        <v>360</v>
      </c>
      <c r="L78" s="5">
        <v>43229</v>
      </c>
      <c r="M78" s="5" t="s">
        <v>125</v>
      </c>
      <c r="N78" s="5" t="s">
        <v>395</v>
      </c>
      <c r="O78" s="5" t="s">
        <v>32</v>
      </c>
      <c r="P78" s="5" t="s">
        <v>64</v>
      </c>
      <c r="Q78" s="5" t="s">
        <v>396</v>
      </c>
      <c r="R78" s="5">
        <v>78.304000000000002</v>
      </c>
      <c r="S78" s="5">
        <v>2</v>
      </c>
      <c r="T78" s="5">
        <v>0.2</v>
      </c>
      <c r="U78" s="5">
        <v>125.2864</v>
      </c>
      <c r="V78" s="7">
        <v>29.363999999999997</v>
      </c>
    </row>
    <row r="79" spans="1:22" ht="15.5" x14ac:dyDescent="0.35">
      <c r="A79" s="8">
        <v>133</v>
      </c>
      <c r="B79" s="9" t="s">
        <v>392</v>
      </c>
      <c r="C79" s="10">
        <v>44229</v>
      </c>
      <c r="D79" s="10">
        <v>44232</v>
      </c>
      <c r="E79" s="9" t="s">
        <v>160</v>
      </c>
      <c r="F79" s="9" t="s">
        <v>393</v>
      </c>
      <c r="G79" s="9" t="s">
        <v>394</v>
      </c>
      <c r="H79" s="9" t="s">
        <v>26</v>
      </c>
      <c r="I79" s="9" t="s">
        <v>27</v>
      </c>
      <c r="J79" s="9" t="s">
        <v>359</v>
      </c>
      <c r="K79" s="9" t="s">
        <v>360</v>
      </c>
      <c r="L79" s="9">
        <v>43229</v>
      </c>
      <c r="M79" s="9" t="s">
        <v>125</v>
      </c>
      <c r="N79" s="9" t="s">
        <v>397</v>
      </c>
      <c r="O79" s="9" t="s">
        <v>32</v>
      </c>
      <c r="P79" s="9" t="s">
        <v>189</v>
      </c>
      <c r="Q79" s="9" t="s">
        <v>398</v>
      </c>
      <c r="R79" s="9">
        <v>21.456</v>
      </c>
      <c r="S79" s="9">
        <v>9</v>
      </c>
      <c r="T79" s="9">
        <v>0.2</v>
      </c>
      <c r="U79" s="9">
        <v>154.48319999999998</v>
      </c>
      <c r="V79" s="11">
        <v>6.9731999999999976</v>
      </c>
    </row>
    <row r="80" spans="1:22" ht="15.5" x14ac:dyDescent="0.35">
      <c r="A80" s="4">
        <v>134</v>
      </c>
      <c r="B80" s="5" t="s">
        <v>399</v>
      </c>
      <c r="C80" s="6">
        <v>44117</v>
      </c>
      <c r="D80" s="6">
        <v>44123</v>
      </c>
      <c r="E80" s="5" t="s">
        <v>36</v>
      </c>
      <c r="F80" s="5" t="s">
        <v>400</v>
      </c>
      <c r="G80" s="5" t="s">
        <v>401</v>
      </c>
      <c r="H80" s="5" t="s">
        <v>39</v>
      </c>
      <c r="I80" s="5" t="s">
        <v>27</v>
      </c>
      <c r="J80" s="5" t="s">
        <v>402</v>
      </c>
      <c r="K80" s="5" t="s">
        <v>29</v>
      </c>
      <c r="L80" s="5">
        <v>95661</v>
      </c>
      <c r="M80" s="5" t="s">
        <v>30</v>
      </c>
      <c r="N80" s="5" t="s">
        <v>403</v>
      </c>
      <c r="O80" s="5" t="s">
        <v>32</v>
      </c>
      <c r="P80" s="5" t="s">
        <v>64</v>
      </c>
      <c r="Q80" s="5" t="s">
        <v>404</v>
      </c>
      <c r="R80" s="5">
        <v>20.04</v>
      </c>
      <c r="S80" s="5">
        <v>3</v>
      </c>
      <c r="T80" s="5">
        <v>0</v>
      </c>
      <c r="U80" s="5">
        <v>60.12</v>
      </c>
      <c r="V80" s="7">
        <v>9.6191999999999993</v>
      </c>
    </row>
    <row r="81" spans="1:22" ht="15.5" x14ac:dyDescent="0.35">
      <c r="A81" s="8">
        <v>135</v>
      </c>
      <c r="B81" s="9" t="s">
        <v>399</v>
      </c>
      <c r="C81" s="10">
        <v>44117</v>
      </c>
      <c r="D81" s="10">
        <v>44123</v>
      </c>
      <c r="E81" s="9" t="s">
        <v>36</v>
      </c>
      <c r="F81" s="9" t="s">
        <v>400</v>
      </c>
      <c r="G81" s="9" t="s">
        <v>401</v>
      </c>
      <c r="H81" s="9" t="s">
        <v>39</v>
      </c>
      <c r="I81" s="9" t="s">
        <v>27</v>
      </c>
      <c r="J81" s="9" t="s">
        <v>402</v>
      </c>
      <c r="K81" s="9" t="s">
        <v>29</v>
      </c>
      <c r="L81" s="9">
        <v>95661</v>
      </c>
      <c r="M81" s="9" t="s">
        <v>30</v>
      </c>
      <c r="N81" s="9" t="s">
        <v>405</v>
      </c>
      <c r="O81" s="9" t="s">
        <v>32</v>
      </c>
      <c r="P81" s="9" t="s">
        <v>64</v>
      </c>
      <c r="Q81" s="9" t="s">
        <v>406</v>
      </c>
      <c r="R81" s="9">
        <v>35.44</v>
      </c>
      <c r="S81" s="9">
        <v>1</v>
      </c>
      <c r="T81" s="9">
        <v>0</v>
      </c>
      <c r="U81" s="9">
        <v>35.44</v>
      </c>
      <c r="V81" s="11">
        <v>16.656799999999997</v>
      </c>
    </row>
    <row r="82" spans="1:22" ht="15.5" x14ac:dyDescent="0.35">
      <c r="A82" s="4">
        <v>136</v>
      </c>
      <c r="B82" s="5" t="s">
        <v>399</v>
      </c>
      <c r="C82" s="6">
        <v>44117</v>
      </c>
      <c r="D82" s="6">
        <v>44123</v>
      </c>
      <c r="E82" s="5" t="s">
        <v>36</v>
      </c>
      <c r="F82" s="5" t="s">
        <v>400</v>
      </c>
      <c r="G82" s="5" t="s">
        <v>401</v>
      </c>
      <c r="H82" s="5" t="s">
        <v>39</v>
      </c>
      <c r="I82" s="5" t="s">
        <v>27</v>
      </c>
      <c r="J82" s="5" t="s">
        <v>402</v>
      </c>
      <c r="K82" s="5" t="s">
        <v>29</v>
      </c>
      <c r="L82" s="5">
        <v>95661</v>
      </c>
      <c r="M82" s="5" t="s">
        <v>30</v>
      </c>
      <c r="N82" s="5" t="s">
        <v>407</v>
      </c>
      <c r="O82" s="5" t="s">
        <v>32</v>
      </c>
      <c r="P82" s="5" t="s">
        <v>50</v>
      </c>
      <c r="Q82" s="5" t="s">
        <v>408</v>
      </c>
      <c r="R82" s="5">
        <v>11.52</v>
      </c>
      <c r="S82" s="5">
        <v>4</v>
      </c>
      <c r="T82" s="5">
        <v>0</v>
      </c>
      <c r="U82" s="5">
        <v>46.08</v>
      </c>
      <c r="V82" s="7">
        <v>3.4559999999999995</v>
      </c>
    </row>
    <row r="83" spans="1:22" ht="15.5" x14ac:dyDescent="0.35">
      <c r="A83" s="8">
        <v>137</v>
      </c>
      <c r="B83" s="9" t="s">
        <v>399</v>
      </c>
      <c r="C83" s="10">
        <v>44117</v>
      </c>
      <c r="D83" s="10">
        <v>44123</v>
      </c>
      <c r="E83" s="9" t="s">
        <v>36</v>
      </c>
      <c r="F83" s="9" t="s">
        <v>400</v>
      </c>
      <c r="G83" s="9" t="s">
        <v>401</v>
      </c>
      <c r="H83" s="9" t="s">
        <v>39</v>
      </c>
      <c r="I83" s="9" t="s">
        <v>27</v>
      </c>
      <c r="J83" s="9" t="s">
        <v>402</v>
      </c>
      <c r="K83" s="9" t="s">
        <v>29</v>
      </c>
      <c r="L83" s="9">
        <v>95661</v>
      </c>
      <c r="M83" s="9" t="s">
        <v>30</v>
      </c>
      <c r="N83" s="9" t="s">
        <v>409</v>
      </c>
      <c r="O83" s="9" t="s">
        <v>32</v>
      </c>
      <c r="P83" s="9" t="s">
        <v>189</v>
      </c>
      <c r="Q83" s="9" t="s">
        <v>410</v>
      </c>
      <c r="R83" s="9">
        <v>4.0199999999999996</v>
      </c>
      <c r="S83" s="9">
        <v>2</v>
      </c>
      <c r="T83" s="9">
        <v>0</v>
      </c>
      <c r="U83" s="9">
        <v>8.0399999999999991</v>
      </c>
      <c r="V83" s="11">
        <v>1.9697999999999998</v>
      </c>
    </row>
    <row r="84" spans="1:22" ht="15.5" x14ac:dyDescent="0.35">
      <c r="A84" s="4">
        <v>138</v>
      </c>
      <c r="B84" s="5" t="s">
        <v>399</v>
      </c>
      <c r="C84" s="6">
        <v>44117</v>
      </c>
      <c r="D84" s="6">
        <v>44123</v>
      </c>
      <c r="E84" s="5" t="s">
        <v>36</v>
      </c>
      <c r="F84" s="5" t="s">
        <v>400</v>
      </c>
      <c r="G84" s="5" t="s">
        <v>401</v>
      </c>
      <c r="H84" s="5" t="s">
        <v>39</v>
      </c>
      <c r="I84" s="5" t="s">
        <v>27</v>
      </c>
      <c r="J84" s="5" t="s">
        <v>402</v>
      </c>
      <c r="K84" s="5" t="s">
        <v>29</v>
      </c>
      <c r="L84" s="5">
        <v>95661</v>
      </c>
      <c r="M84" s="5" t="s">
        <v>30</v>
      </c>
      <c r="N84" s="5" t="s">
        <v>411</v>
      </c>
      <c r="O84" s="5" t="s">
        <v>32</v>
      </c>
      <c r="P84" s="5" t="s">
        <v>53</v>
      </c>
      <c r="Q84" s="5" t="s">
        <v>412</v>
      </c>
      <c r="R84" s="5">
        <v>76.176000000000002</v>
      </c>
      <c r="S84" s="5">
        <v>3</v>
      </c>
      <c r="T84" s="5">
        <v>0.2</v>
      </c>
      <c r="U84" s="5">
        <v>182.82240000000002</v>
      </c>
      <c r="V84" s="7">
        <v>26.661599999999996</v>
      </c>
    </row>
    <row r="85" spans="1:22" ht="15.5" x14ac:dyDescent="0.35">
      <c r="A85" s="8">
        <v>139</v>
      </c>
      <c r="B85" s="9" t="s">
        <v>399</v>
      </c>
      <c r="C85" s="10">
        <v>44117</v>
      </c>
      <c r="D85" s="10">
        <v>44123</v>
      </c>
      <c r="E85" s="9" t="s">
        <v>36</v>
      </c>
      <c r="F85" s="9" t="s">
        <v>400</v>
      </c>
      <c r="G85" s="9" t="s">
        <v>401</v>
      </c>
      <c r="H85" s="9" t="s">
        <v>39</v>
      </c>
      <c r="I85" s="9" t="s">
        <v>27</v>
      </c>
      <c r="J85" s="9" t="s">
        <v>402</v>
      </c>
      <c r="K85" s="9" t="s">
        <v>29</v>
      </c>
      <c r="L85" s="9">
        <v>95661</v>
      </c>
      <c r="M85" s="9" t="s">
        <v>30</v>
      </c>
      <c r="N85" s="9" t="s">
        <v>413</v>
      </c>
      <c r="O85" s="9" t="s">
        <v>32</v>
      </c>
      <c r="P85" s="9" t="s">
        <v>414</v>
      </c>
      <c r="Q85" s="9" t="s">
        <v>415</v>
      </c>
      <c r="R85" s="9">
        <v>65.88</v>
      </c>
      <c r="S85" s="9">
        <v>6</v>
      </c>
      <c r="T85" s="9">
        <v>0</v>
      </c>
      <c r="U85" s="9">
        <v>395.28</v>
      </c>
      <c r="V85" s="11">
        <v>18.446400000000004</v>
      </c>
    </row>
    <row r="86" spans="1:22" ht="15.5" x14ac:dyDescent="0.35">
      <c r="A86" s="4">
        <v>142</v>
      </c>
      <c r="B86" s="5" t="s">
        <v>416</v>
      </c>
      <c r="C86" s="6">
        <v>44457</v>
      </c>
      <c r="D86" s="6">
        <v>44462</v>
      </c>
      <c r="E86" s="5" t="s">
        <v>36</v>
      </c>
      <c r="F86" s="5" t="s">
        <v>417</v>
      </c>
      <c r="G86" s="5" t="s">
        <v>418</v>
      </c>
      <c r="H86" s="5" t="s">
        <v>26</v>
      </c>
      <c r="I86" s="5" t="s">
        <v>27</v>
      </c>
      <c r="J86" s="5" t="s">
        <v>101</v>
      </c>
      <c r="K86" s="5" t="s">
        <v>29</v>
      </c>
      <c r="L86" s="5">
        <v>94122</v>
      </c>
      <c r="M86" s="5" t="s">
        <v>30</v>
      </c>
      <c r="N86" s="5" t="s">
        <v>419</v>
      </c>
      <c r="O86" s="5" t="s">
        <v>32</v>
      </c>
      <c r="P86" s="5" t="s">
        <v>50</v>
      </c>
      <c r="Q86" s="5" t="s">
        <v>420</v>
      </c>
      <c r="R86" s="5">
        <v>8.82</v>
      </c>
      <c r="S86" s="5">
        <v>3</v>
      </c>
      <c r="T86" s="5">
        <v>0</v>
      </c>
      <c r="U86" s="5">
        <v>26.46</v>
      </c>
      <c r="V86" s="7">
        <v>2.3814000000000002</v>
      </c>
    </row>
    <row r="87" spans="1:22" ht="15.5" x14ac:dyDescent="0.35">
      <c r="A87" s="8">
        <v>143</v>
      </c>
      <c r="B87" s="9" t="s">
        <v>416</v>
      </c>
      <c r="C87" s="10">
        <v>44457</v>
      </c>
      <c r="D87" s="10">
        <v>44462</v>
      </c>
      <c r="E87" s="9" t="s">
        <v>36</v>
      </c>
      <c r="F87" s="9" t="s">
        <v>417</v>
      </c>
      <c r="G87" s="9" t="s">
        <v>418</v>
      </c>
      <c r="H87" s="9" t="s">
        <v>26</v>
      </c>
      <c r="I87" s="9" t="s">
        <v>27</v>
      </c>
      <c r="J87" s="9" t="s">
        <v>101</v>
      </c>
      <c r="K87" s="9" t="s">
        <v>29</v>
      </c>
      <c r="L87" s="9">
        <v>94122</v>
      </c>
      <c r="M87" s="9" t="s">
        <v>30</v>
      </c>
      <c r="N87" s="9" t="s">
        <v>421</v>
      </c>
      <c r="O87" s="9" t="s">
        <v>32</v>
      </c>
      <c r="P87" s="9" t="s">
        <v>129</v>
      </c>
      <c r="Q87" s="9" t="s">
        <v>422</v>
      </c>
      <c r="R87" s="9">
        <v>10.86</v>
      </c>
      <c r="S87" s="9">
        <v>3</v>
      </c>
      <c r="T87" s="9">
        <v>0</v>
      </c>
      <c r="U87" s="9">
        <v>32.58</v>
      </c>
      <c r="V87" s="11">
        <v>5.1042000000000005</v>
      </c>
    </row>
    <row r="88" spans="1:22" ht="15.5" x14ac:dyDescent="0.35">
      <c r="A88" s="4">
        <v>144</v>
      </c>
      <c r="B88" s="5" t="s">
        <v>416</v>
      </c>
      <c r="C88" s="6">
        <v>44457</v>
      </c>
      <c r="D88" s="6">
        <v>44462</v>
      </c>
      <c r="E88" s="5" t="s">
        <v>36</v>
      </c>
      <c r="F88" s="5" t="s">
        <v>417</v>
      </c>
      <c r="G88" s="5" t="s">
        <v>418</v>
      </c>
      <c r="H88" s="5" t="s">
        <v>26</v>
      </c>
      <c r="I88" s="5" t="s">
        <v>27</v>
      </c>
      <c r="J88" s="5" t="s">
        <v>101</v>
      </c>
      <c r="K88" s="5" t="s">
        <v>29</v>
      </c>
      <c r="L88" s="5">
        <v>94122</v>
      </c>
      <c r="M88" s="5" t="s">
        <v>30</v>
      </c>
      <c r="N88" s="5" t="s">
        <v>423</v>
      </c>
      <c r="O88" s="5" t="s">
        <v>32</v>
      </c>
      <c r="P88" s="5" t="s">
        <v>64</v>
      </c>
      <c r="Q88" s="5" t="s">
        <v>424</v>
      </c>
      <c r="R88" s="5">
        <v>143.69999999999999</v>
      </c>
      <c r="S88" s="5">
        <v>3</v>
      </c>
      <c r="T88" s="5">
        <v>0</v>
      </c>
      <c r="U88" s="5">
        <v>431.09999999999997</v>
      </c>
      <c r="V88" s="7">
        <v>68.975999999999999</v>
      </c>
    </row>
    <row r="89" spans="1:22" ht="15.5" x14ac:dyDescent="0.35">
      <c r="A89" s="8">
        <v>145</v>
      </c>
      <c r="B89" s="9" t="s">
        <v>425</v>
      </c>
      <c r="C89" s="10">
        <v>44552</v>
      </c>
      <c r="D89" s="10">
        <v>44557</v>
      </c>
      <c r="E89" s="9" t="s">
        <v>36</v>
      </c>
      <c r="F89" s="9" t="s">
        <v>426</v>
      </c>
      <c r="G89" s="9" t="s">
        <v>427</v>
      </c>
      <c r="H89" s="9" t="s">
        <v>39</v>
      </c>
      <c r="I89" s="9" t="s">
        <v>27</v>
      </c>
      <c r="J89" s="9" t="s">
        <v>428</v>
      </c>
      <c r="K89" s="9" t="s">
        <v>429</v>
      </c>
      <c r="L89" s="9">
        <v>64055</v>
      </c>
      <c r="M89" s="9" t="s">
        <v>79</v>
      </c>
      <c r="N89" s="9" t="s">
        <v>430</v>
      </c>
      <c r="O89" s="9" t="s">
        <v>32</v>
      </c>
      <c r="P89" s="9" t="s">
        <v>56</v>
      </c>
      <c r="Q89" s="9" t="s">
        <v>431</v>
      </c>
      <c r="R89" s="9">
        <v>839.43000000000006</v>
      </c>
      <c r="S89" s="9">
        <v>3</v>
      </c>
      <c r="T89" s="9">
        <v>0</v>
      </c>
      <c r="U89" s="9">
        <v>2518.29</v>
      </c>
      <c r="V89" s="11">
        <v>218.25179999999997</v>
      </c>
    </row>
    <row r="90" spans="1:22" ht="15.5" x14ac:dyDescent="0.35">
      <c r="A90" s="4">
        <v>146</v>
      </c>
      <c r="B90" s="5" t="s">
        <v>432</v>
      </c>
      <c r="C90" s="6">
        <v>43715</v>
      </c>
      <c r="D90" s="6">
        <v>43720</v>
      </c>
      <c r="E90" s="5" t="s">
        <v>36</v>
      </c>
      <c r="F90" s="5" t="s">
        <v>433</v>
      </c>
      <c r="G90" s="5" t="s">
        <v>434</v>
      </c>
      <c r="H90" s="5" t="s">
        <v>39</v>
      </c>
      <c r="I90" s="5" t="s">
        <v>27</v>
      </c>
      <c r="J90" s="5" t="s">
        <v>435</v>
      </c>
      <c r="K90" s="5" t="s">
        <v>29</v>
      </c>
      <c r="L90" s="5">
        <v>91104</v>
      </c>
      <c r="M90" s="5" t="s">
        <v>30</v>
      </c>
      <c r="N90" s="5" t="s">
        <v>276</v>
      </c>
      <c r="O90" s="5" t="s">
        <v>32</v>
      </c>
      <c r="P90" s="5" t="s">
        <v>44</v>
      </c>
      <c r="Q90" s="5" t="s">
        <v>277</v>
      </c>
      <c r="R90" s="5">
        <v>671.93</v>
      </c>
      <c r="S90" s="5">
        <v>7</v>
      </c>
      <c r="T90" s="5">
        <v>0</v>
      </c>
      <c r="U90" s="5">
        <v>4703.5099999999993</v>
      </c>
      <c r="V90" s="7">
        <v>20.157899999999998</v>
      </c>
    </row>
    <row r="91" spans="1:22" ht="15.5" x14ac:dyDescent="0.35">
      <c r="A91" s="8">
        <v>151</v>
      </c>
      <c r="B91" s="9" t="s">
        <v>436</v>
      </c>
      <c r="C91" s="10">
        <v>44170</v>
      </c>
      <c r="D91" s="10">
        <v>44174</v>
      </c>
      <c r="E91" s="9" t="s">
        <v>36</v>
      </c>
      <c r="F91" s="9" t="s">
        <v>437</v>
      </c>
      <c r="G91" s="9" t="s">
        <v>438</v>
      </c>
      <c r="H91" s="9" t="s">
        <v>26</v>
      </c>
      <c r="I91" s="9" t="s">
        <v>27</v>
      </c>
      <c r="J91" s="9" t="s">
        <v>439</v>
      </c>
      <c r="K91" s="9" t="s">
        <v>88</v>
      </c>
      <c r="L91" s="9">
        <v>53132</v>
      </c>
      <c r="M91" s="9" t="s">
        <v>79</v>
      </c>
      <c r="N91" s="9" t="s">
        <v>440</v>
      </c>
      <c r="O91" s="9" t="s">
        <v>32</v>
      </c>
      <c r="P91" s="9" t="s">
        <v>53</v>
      </c>
      <c r="Q91" s="9" t="s">
        <v>441</v>
      </c>
      <c r="R91" s="9">
        <v>171.55</v>
      </c>
      <c r="S91" s="9">
        <v>5</v>
      </c>
      <c r="T91" s="9">
        <v>0</v>
      </c>
      <c r="U91" s="9">
        <v>857.75</v>
      </c>
      <c r="V91" s="11">
        <v>80.628500000000003</v>
      </c>
    </row>
    <row r="92" spans="1:22" ht="15.5" x14ac:dyDescent="0.35">
      <c r="A92" s="4">
        <v>152</v>
      </c>
      <c r="B92" s="5" t="s">
        <v>442</v>
      </c>
      <c r="C92" s="6">
        <v>43903</v>
      </c>
      <c r="D92" s="6">
        <v>43906</v>
      </c>
      <c r="E92" s="5" t="s">
        <v>160</v>
      </c>
      <c r="F92" s="5" t="s">
        <v>443</v>
      </c>
      <c r="G92" s="5" t="s">
        <v>444</v>
      </c>
      <c r="H92" s="5" t="s">
        <v>76</v>
      </c>
      <c r="I92" s="5" t="s">
        <v>27</v>
      </c>
      <c r="J92" s="5" t="s">
        <v>445</v>
      </c>
      <c r="K92" s="5" t="s">
        <v>216</v>
      </c>
      <c r="L92" s="5">
        <v>85254</v>
      </c>
      <c r="M92" s="5" t="s">
        <v>30</v>
      </c>
      <c r="N92" s="5" t="s">
        <v>446</v>
      </c>
      <c r="O92" s="5" t="s">
        <v>32</v>
      </c>
      <c r="P92" s="5" t="s">
        <v>56</v>
      </c>
      <c r="Q92" s="5" t="s">
        <v>447</v>
      </c>
      <c r="R92" s="5">
        <v>157.91999999999999</v>
      </c>
      <c r="S92" s="5">
        <v>5</v>
      </c>
      <c r="T92" s="5">
        <v>0.2</v>
      </c>
      <c r="U92" s="5">
        <v>631.67999999999995</v>
      </c>
      <c r="V92" s="7">
        <v>17.765999999999991</v>
      </c>
    </row>
    <row r="93" spans="1:22" ht="15.5" x14ac:dyDescent="0.35">
      <c r="A93" s="8">
        <v>154</v>
      </c>
      <c r="B93" s="9" t="s">
        <v>448</v>
      </c>
      <c r="C93" s="10">
        <v>43616</v>
      </c>
      <c r="D93" s="10">
        <v>43618</v>
      </c>
      <c r="E93" s="9" t="s">
        <v>160</v>
      </c>
      <c r="F93" s="9" t="s">
        <v>449</v>
      </c>
      <c r="G93" s="9" t="s">
        <v>450</v>
      </c>
      <c r="H93" s="9" t="s">
        <v>26</v>
      </c>
      <c r="I93" s="9" t="s">
        <v>27</v>
      </c>
      <c r="J93" s="9" t="s">
        <v>451</v>
      </c>
      <c r="K93" s="9" t="s">
        <v>29</v>
      </c>
      <c r="L93" s="9">
        <v>95123</v>
      </c>
      <c r="M93" s="9" t="s">
        <v>30</v>
      </c>
      <c r="N93" s="9" t="s">
        <v>452</v>
      </c>
      <c r="O93" s="9" t="s">
        <v>32</v>
      </c>
      <c r="P93" s="9" t="s">
        <v>64</v>
      </c>
      <c r="Q93" s="9" t="s">
        <v>453</v>
      </c>
      <c r="R93" s="9">
        <v>58.379999999999995</v>
      </c>
      <c r="S93" s="9">
        <v>7</v>
      </c>
      <c r="T93" s="9">
        <v>0</v>
      </c>
      <c r="U93" s="9">
        <v>408.65999999999997</v>
      </c>
      <c r="V93" s="11">
        <v>26.270999999999994</v>
      </c>
    </row>
    <row r="94" spans="1:22" ht="15.5" x14ac:dyDescent="0.35">
      <c r="A94" s="4">
        <v>155</v>
      </c>
      <c r="B94" s="5" t="s">
        <v>448</v>
      </c>
      <c r="C94" s="6">
        <v>43616</v>
      </c>
      <c r="D94" s="6">
        <v>43618</v>
      </c>
      <c r="E94" s="5" t="s">
        <v>160</v>
      </c>
      <c r="F94" s="5" t="s">
        <v>449</v>
      </c>
      <c r="G94" s="5" t="s">
        <v>450</v>
      </c>
      <c r="H94" s="5" t="s">
        <v>26</v>
      </c>
      <c r="I94" s="5" t="s">
        <v>27</v>
      </c>
      <c r="J94" s="5" t="s">
        <v>451</v>
      </c>
      <c r="K94" s="5" t="s">
        <v>29</v>
      </c>
      <c r="L94" s="5">
        <v>95123</v>
      </c>
      <c r="M94" s="5" t="s">
        <v>30</v>
      </c>
      <c r="N94" s="5" t="s">
        <v>454</v>
      </c>
      <c r="O94" s="5" t="s">
        <v>32</v>
      </c>
      <c r="P94" s="5" t="s">
        <v>64</v>
      </c>
      <c r="Q94" s="5" t="s">
        <v>455</v>
      </c>
      <c r="R94" s="5">
        <v>105.52</v>
      </c>
      <c r="S94" s="5">
        <v>4</v>
      </c>
      <c r="T94" s="5">
        <v>0</v>
      </c>
      <c r="U94" s="5">
        <v>422.08</v>
      </c>
      <c r="V94" s="7">
        <v>48.539199999999994</v>
      </c>
    </row>
    <row r="95" spans="1:22" ht="15.5" x14ac:dyDescent="0.35">
      <c r="A95" s="8">
        <v>156</v>
      </c>
      <c r="B95" s="9" t="s">
        <v>448</v>
      </c>
      <c r="C95" s="10">
        <v>43616</v>
      </c>
      <c r="D95" s="10">
        <v>43618</v>
      </c>
      <c r="E95" s="9" t="s">
        <v>160</v>
      </c>
      <c r="F95" s="9" t="s">
        <v>449</v>
      </c>
      <c r="G95" s="9" t="s">
        <v>450</v>
      </c>
      <c r="H95" s="9" t="s">
        <v>26</v>
      </c>
      <c r="I95" s="9" t="s">
        <v>27</v>
      </c>
      <c r="J95" s="9" t="s">
        <v>451</v>
      </c>
      <c r="K95" s="9" t="s">
        <v>29</v>
      </c>
      <c r="L95" s="9">
        <v>95123</v>
      </c>
      <c r="M95" s="9" t="s">
        <v>30</v>
      </c>
      <c r="N95" s="9" t="s">
        <v>456</v>
      </c>
      <c r="O95" s="9" t="s">
        <v>32</v>
      </c>
      <c r="P95" s="9" t="s">
        <v>44</v>
      </c>
      <c r="Q95" s="9" t="s">
        <v>457</v>
      </c>
      <c r="R95" s="9">
        <v>80.88</v>
      </c>
      <c r="S95" s="9">
        <v>6</v>
      </c>
      <c r="T95" s="9">
        <v>0</v>
      </c>
      <c r="U95" s="9">
        <v>485.28</v>
      </c>
      <c r="V95" s="11">
        <v>21.028799999999997</v>
      </c>
    </row>
    <row r="96" spans="1:22" ht="15.5" x14ac:dyDescent="0.35">
      <c r="A96" s="4">
        <v>157</v>
      </c>
      <c r="B96" s="5" t="s">
        <v>458</v>
      </c>
      <c r="C96" s="6">
        <v>43613</v>
      </c>
      <c r="D96" s="6">
        <v>43619</v>
      </c>
      <c r="E96" s="5" t="s">
        <v>36</v>
      </c>
      <c r="F96" s="5" t="s">
        <v>459</v>
      </c>
      <c r="G96" s="5" t="s">
        <v>460</v>
      </c>
      <c r="H96" s="5" t="s">
        <v>76</v>
      </c>
      <c r="I96" s="5" t="s">
        <v>27</v>
      </c>
      <c r="J96" s="5" t="s">
        <v>69</v>
      </c>
      <c r="K96" s="5" t="s">
        <v>70</v>
      </c>
      <c r="L96" s="5">
        <v>98105</v>
      </c>
      <c r="M96" s="5" t="s">
        <v>30</v>
      </c>
      <c r="N96" s="5" t="s">
        <v>461</v>
      </c>
      <c r="O96" s="5" t="s">
        <v>32</v>
      </c>
      <c r="P96" s="5" t="s">
        <v>50</v>
      </c>
      <c r="Q96" s="5" t="s">
        <v>462</v>
      </c>
      <c r="R96" s="5">
        <v>6.63</v>
      </c>
      <c r="S96" s="5">
        <v>3</v>
      </c>
      <c r="T96" s="5">
        <v>0</v>
      </c>
      <c r="U96" s="5">
        <v>19.89</v>
      </c>
      <c r="V96" s="7">
        <v>1.7901</v>
      </c>
    </row>
    <row r="97" spans="1:22" ht="15.5" x14ac:dyDescent="0.35">
      <c r="A97" s="8">
        <v>159</v>
      </c>
      <c r="B97" s="9" t="s">
        <v>463</v>
      </c>
      <c r="C97" s="10">
        <v>44155</v>
      </c>
      <c r="D97" s="10">
        <v>44159</v>
      </c>
      <c r="E97" s="9" t="s">
        <v>36</v>
      </c>
      <c r="F97" s="9" t="s">
        <v>464</v>
      </c>
      <c r="G97" s="9" t="s">
        <v>465</v>
      </c>
      <c r="H97" s="9" t="s">
        <v>39</v>
      </c>
      <c r="I97" s="9" t="s">
        <v>27</v>
      </c>
      <c r="J97" s="9" t="s">
        <v>466</v>
      </c>
      <c r="K97" s="9" t="s">
        <v>467</v>
      </c>
      <c r="L97" s="9">
        <v>73034</v>
      </c>
      <c r="M97" s="9" t="s">
        <v>79</v>
      </c>
      <c r="N97" s="9" t="s">
        <v>468</v>
      </c>
      <c r="O97" s="9" t="s">
        <v>32</v>
      </c>
      <c r="P97" s="9" t="s">
        <v>33</v>
      </c>
      <c r="Q97" s="9" t="s">
        <v>469</v>
      </c>
      <c r="R97" s="9">
        <v>14.62</v>
      </c>
      <c r="S97" s="9">
        <v>2</v>
      </c>
      <c r="T97" s="9">
        <v>0</v>
      </c>
      <c r="U97" s="9">
        <v>29.24</v>
      </c>
      <c r="V97" s="11">
        <v>6.8713999999999995</v>
      </c>
    </row>
    <row r="98" spans="1:22" ht="15.5" x14ac:dyDescent="0.35">
      <c r="A98" s="4">
        <v>161</v>
      </c>
      <c r="B98" s="5" t="s">
        <v>470</v>
      </c>
      <c r="C98" s="6">
        <v>43962</v>
      </c>
      <c r="D98" s="6">
        <v>43963</v>
      </c>
      <c r="E98" s="5" t="s">
        <v>160</v>
      </c>
      <c r="F98" s="5" t="s">
        <v>471</v>
      </c>
      <c r="G98" s="5" t="s">
        <v>472</v>
      </c>
      <c r="H98" s="5" t="s">
        <v>39</v>
      </c>
      <c r="I98" s="5" t="s">
        <v>27</v>
      </c>
      <c r="J98" s="5" t="s">
        <v>28</v>
      </c>
      <c r="K98" s="5" t="s">
        <v>29</v>
      </c>
      <c r="L98" s="5">
        <v>90045</v>
      </c>
      <c r="M98" s="5" t="s">
        <v>30</v>
      </c>
      <c r="N98" s="5" t="s">
        <v>473</v>
      </c>
      <c r="O98" s="5" t="s">
        <v>32</v>
      </c>
      <c r="P98" s="5" t="s">
        <v>64</v>
      </c>
      <c r="Q98" s="5" t="s">
        <v>474</v>
      </c>
      <c r="R98" s="5">
        <v>5.98</v>
      </c>
      <c r="S98" s="5">
        <v>1</v>
      </c>
      <c r="T98" s="5">
        <v>0</v>
      </c>
      <c r="U98" s="5">
        <v>5.98</v>
      </c>
      <c r="V98" s="7">
        <v>2.6909999999999998</v>
      </c>
    </row>
    <row r="99" spans="1:22" ht="15.5" x14ac:dyDescent="0.35">
      <c r="A99" s="8">
        <v>163</v>
      </c>
      <c r="B99" s="9" t="s">
        <v>475</v>
      </c>
      <c r="C99" s="10">
        <v>44151</v>
      </c>
      <c r="D99" s="10">
        <v>44155</v>
      </c>
      <c r="E99" s="9" t="s">
        <v>36</v>
      </c>
      <c r="F99" s="9" t="s">
        <v>476</v>
      </c>
      <c r="G99" s="9" t="s">
        <v>477</v>
      </c>
      <c r="H99" s="9" t="s">
        <v>39</v>
      </c>
      <c r="I99" s="9" t="s">
        <v>27</v>
      </c>
      <c r="J99" s="9" t="s">
        <v>478</v>
      </c>
      <c r="K99" s="9" t="s">
        <v>479</v>
      </c>
      <c r="L99" s="9">
        <v>88220</v>
      </c>
      <c r="M99" s="9" t="s">
        <v>30</v>
      </c>
      <c r="N99" s="9" t="s">
        <v>480</v>
      </c>
      <c r="O99" s="9" t="s">
        <v>32</v>
      </c>
      <c r="P99" s="9" t="s">
        <v>129</v>
      </c>
      <c r="Q99" s="9" t="s">
        <v>481</v>
      </c>
      <c r="R99" s="9">
        <v>28.4</v>
      </c>
      <c r="S99" s="9">
        <v>5</v>
      </c>
      <c r="T99" s="9">
        <v>0</v>
      </c>
      <c r="U99" s="9">
        <v>142</v>
      </c>
      <c r="V99" s="11">
        <v>13.347999999999997</v>
      </c>
    </row>
    <row r="100" spans="1:22" ht="15.5" x14ac:dyDescent="0.35">
      <c r="A100" s="4">
        <v>164</v>
      </c>
      <c r="B100" s="5" t="s">
        <v>482</v>
      </c>
      <c r="C100" s="6">
        <v>44142</v>
      </c>
      <c r="D100" s="6">
        <v>44146</v>
      </c>
      <c r="E100" s="5" t="s">
        <v>36</v>
      </c>
      <c r="F100" s="5" t="s">
        <v>483</v>
      </c>
      <c r="G100" s="5" t="s">
        <v>484</v>
      </c>
      <c r="H100" s="5" t="s">
        <v>39</v>
      </c>
      <c r="I100" s="5" t="s">
        <v>27</v>
      </c>
      <c r="J100" s="5" t="s">
        <v>69</v>
      </c>
      <c r="K100" s="5" t="s">
        <v>70</v>
      </c>
      <c r="L100" s="5">
        <v>98115</v>
      </c>
      <c r="M100" s="5" t="s">
        <v>30</v>
      </c>
      <c r="N100" s="5" t="s">
        <v>485</v>
      </c>
      <c r="O100" s="5" t="s">
        <v>32</v>
      </c>
      <c r="P100" s="5" t="s">
        <v>53</v>
      </c>
      <c r="Q100" s="5" t="s">
        <v>486</v>
      </c>
      <c r="R100" s="5">
        <v>27.680000000000003</v>
      </c>
      <c r="S100" s="5">
        <v>2</v>
      </c>
      <c r="T100" s="5">
        <v>0.2</v>
      </c>
      <c r="U100" s="5">
        <v>44.288000000000004</v>
      </c>
      <c r="V100" s="7">
        <v>9.6879999999999988</v>
      </c>
    </row>
    <row r="101" spans="1:22" ht="15.5" x14ac:dyDescent="0.35">
      <c r="A101" s="8">
        <v>165</v>
      </c>
      <c r="B101" s="9" t="s">
        <v>487</v>
      </c>
      <c r="C101" s="10">
        <v>43351</v>
      </c>
      <c r="D101" s="10">
        <v>43355</v>
      </c>
      <c r="E101" s="9" t="s">
        <v>36</v>
      </c>
      <c r="F101" s="9" t="s">
        <v>488</v>
      </c>
      <c r="G101" s="9" t="s">
        <v>489</v>
      </c>
      <c r="H101" s="9" t="s">
        <v>39</v>
      </c>
      <c r="I101" s="9" t="s">
        <v>27</v>
      </c>
      <c r="J101" s="9" t="s">
        <v>490</v>
      </c>
      <c r="K101" s="9" t="s">
        <v>78</v>
      </c>
      <c r="L101" s="9">
        <v>78207</v>
      </c>
      <c r="M101" s="9" t="s">
        <v>79</v>
      </c>
      <c r="N101" s="9" t="s">
        <v>491</v>
      </c>
      <c r="O101" s="9" t="s">
        <v>32</v>
      </c>
      <c r="P101" s="9" t="s">
        <v>50</v>
      </c>
      <c r="Q101" s="9" t="s">
        <v>492</v>
      </c>
      <c r="R101" s="9">
        <v>9.9359999999999999</v>
      </c>
      <c r="S101" s="9">
        <v>3</v>
      </c>
      <c r="T101" s="9">
        <v>0.2</v>
      </c>
      <c r="U101" s="9">
        <v>23.846399999999999</v>
      </c>
      <c r="V101" s="11">
        <v>2.7324000000000002</v>
      </c>
    </row>
    <row r="102" spans="1:22" ht="15.5" x14ac:dyDescent="0.35">
      <c r="A102" s="4">
        <v>167</v>
      </c>
      <c r="B102" s="5" t="s">
        <v>487</v>
      </c>
      <c r="C102" s="6">
        <v>43351</v>
      </c>
      <c r="D102" s="6">
        <v>43355</v>
      </c>
      <c r="E102" s="5" t="s">
        <v>36</v>
      </c>
      <c r="F102" s="5" t="s">
        <v>488</v>
      </c>
      <c r="G102" s="5" t="s">
        <v>489</v>
      </c>
      <c r="H102" s="5" t="s">
        <v>39</v>
      </c>
      <c r="I102" s="5" t="s">
        <v>27</v>
      </c>
      <c r="J102" s="5" t="s">
        <v>490</v>
      </c>
      <c r="K102" s="5" t="s">
        <v>78</v>
      </c>
      <c r="L102" s="5">
        <v>78207</v>
      </c>
      <c r="M102" s="5" t="s">
        <v>79</v>
      </c>
      <c r="N102" s="5" t="s">
        <v>493</v>
      </c>
      <c r="O102" s="5" t="s">
        <v>32</v>
      </c>
      <c r="P102" s="5" t="s">
        <v>44</v>
      </c>
      <c r="Q102" s="5" t="s">
        <v>494</v>
      </c>
      <c r="R102" s="5">
        <v>275.928</v>
      </c>
      <c r="S102" s="5">
        <v>3</v>
      </c>
      <c r="T102" s="5">
        <v>0.2</v>
      </c>
      <c r="U102" s="5">
        <v>662.22720000000004</v>
      </c>
      <c r="V102" s="7">
        <v>-58.634699999999995</v>
      </c>
    </row>
    <row r="103" spans="1:22" ht="15.5" x14ac:dyDescent="0.35">
      <c r="A103" s="8">
        <v>169</v>
      </c>
      <c r="B103" s="9" t="s">
        <v>487</v>
      </c>
      <c r="C103" s="10">
        <v>43351</v>
      </c>
      <c r="D103" s="10">
        <v>43355</v>
      </c>
      <c r="E103" s="9" t="s">
        <v>36</v>
      </c>
      <c r="F103" s="9" t="s">
        <v>488</v>
      </c>
      <c r="G103" s="9" t="s">
        <v>489</v>
      </c>
      <c r="H103" s="9" t="s">
        <v>39</v>
      </c>
      <c r="I103" s="9" t="s">
        <v>27</v>
      </c>
      <c r="J103" s="9" t="s">
        <v>490</v>
      </c>
      <c r="K103" s="9" t="s">
        <v>78</v>
      </c>
      <c r="L103" s="9">
        <v>78207</v>
      </c>
      <c r="M103" s="9" t="s">
        <v>79</v>
      </c>
      <c r="N103" s="9" t="s">
        <v>495</v>
      </c>
      <c r="O103" s="9" t="s">
        <v>32</v>
      </c>
      <c r="P103" s="9" t="s">
        <v>50</v>
      </c>
      <c r="Q103" s="9" t="s">
        <v>496</v>
      </c>
      <c r="R103" s="9">
        <v>32.064</v>
      </c>
      <c r="S103" s="9">
        <v>6</v>
      </c>
      <c r="T103" s="9">
        <v>0.2</v>
      </c>
      <c r="U103" s="9">
        <v>153.90720000000002</v>
      </c>
      <c r="V103" s="11">
        <v>6.8135999999999974</v>
      </c>
    </row>
    <row r="104" spans="1:22" ht="15.5" x14ac:dyDescent="0.35">
      <c r="A104" s="4">
        <v>170</v>
      </c>
      <c r="B104" s="5" t="s">
        <v>487</v>
      </c>
      <c r="C104" s="6">
        <v>43351</v>
      </c>
      <c r="D104" s="6">
        <v>43355</v>
      </c>
      <c r="E104" s="5" t="s">
        <v>36</v>
      </c>
      <c r="F104" s="5" t="s">
        <v>488</v>
      </c>
      <c r="G104" s="5" t="s">
        <v>489</v>
      </c>
      <c r="H104" s="5" t="s">
        <v>39</v>
      </c>
      <c r="I104" s="5" t="s">
        <v>27</v>
      </c>
      <c r="J104" s="5" t="s">
        <v>490</v>
      </c>
      <c r="K104" s="5" t="s">
        <v>78</v>
      </c>
      <c r="L104" s="5">
        <v>78207</v>
      </c>
      <c r="M104" s="5" t="s">
        <v>79</v>
      </c>
      <c r="N104" s="5" t="s">
        <v>497</v>
      </c>
      <c r="O104" s="5" t="s">
        <v>32</v>
      </c>
      <c r="P104" s="5" t="s">
        <v>56</v>
      </c>
      <c r="Q104" s="5" t="s">
        <v>498</v>
      </c>
      <c r="R104" s="5">
        <v>177.97999999999996</v>
      </c>
      <c r="S104" s="5">
        <v>5</v>
      </c>
      <c r="T104" s="5">
        <v>0.8</v>
      </c>
      <c r="U104" s="5">
        <v>177.9799999999999</v>
      </c>
      <c r="V104" s="7">
        <v>-453.84900000000005</v>
      </c>
    </row>
    <row r="105" spans="1:22" ht="15.5" x14ac:dyDescent="0.35">
      <c r="A105" s="8">
        <v>172</v>
      </c>
      <c r="B105" s="9" t="s">
        <v>499</v>
      </c>
      <c r="C105" s="10">
        <v>43317</v>
      </c>
      <c r="D105" s="10">
        <v>43321</v>
      </c>
      <c r="E105" s="9" t="s">
        <v>36</v>
      </c>
      <c r="F105" s="9" t="s">
        <v>500</v>
      </c>
      <c r="G105" s="9" t="s">
        <v>501</v>
      </c>
      <c r="H105" s="9" t="s">
        <v>39</v>
      </c>
      <c r="I105" s="9" t="s">
        <v>27</v>
      </c>
      <c r="J105" s="9" t="s">
        <v>28</v>
      </c>
      <c r="K105" s="9" t="s">
        <v>29</v>
      </c>
      <c r="L105" s="9">
        <v>90004</v>
      </c>
      <c r="M105" s="9" t="s">
        <v>30</v>
      </c>
      <c r="N105" s="9" t="s">
        <v>502</v>
      </c>
      <c r="O105" s="9" t="s">
        <v>32</v>
      </c>
      <c r="P105" s="9" t="s">
        <v>64</v>
      </c>
      <c r="Q105" s="9" t="s">
        <v>503</v>
      </c>
      <c r="R105" s="9">
        <v>20.94</v>
      </c>
      <c r="S105" s="9">
        <v>3</v>
      </c>
      <c r="T105" s="9">
        <v>0</v>
      </c>
      <c r="U105" s="9">
        <v>62.820000000000007</v>
      </c>
      <c r="V105" s="11">
        <v>9.841800000000001</v>
      </c>
    </row>
    <row r="106" spans="1:22" ht="15.5" x14ac:dyDescent="0.35">
      <c r="A106" s="4">
        <v>173</v>
      </c>
      <c r="B106" s="5" t="s">
        <v>499</v>
      </c>
      <c r="C106" s="6">
        <v>43317</v>
      </c>
      <c r="D106" s="6">
        <v>43321</v>
      </c>
      <c r="E106" s="5" t="s">
        <v>36</v>
      </c>
      <c r="F106" s="5" t="s">
        <v>500</v>
      </c>
      <c r="G106" s="5" t="s">
        <v>501</v>
      </c>
      <c r="H106" s="5" t="s">
        <v>39</v>
      </c>
      <c r="I106" s="5" t="s">
        <v>27</v>
      </c>
      <c r="J106" s="5" t="s">
        <v>28</v>
      </c>
      <c r="K106" s="5" t="s">
        <v>29</v>
      </c>
      <c r="L106" s="5">
        <v>90004</v>
      </c>
      <c r="M106" s="5" t="s">
        <v>30</v>
      </c>
      <c r="N106" s="5" t="s">
        <v>504</v>
      </c>
      <c r="O106" s="5" t="s">
        <v>32</v>
      </c>
      <c r="P106" s="5" t="s">
        <v>64</v>
      </c>
      <c r="Q106" s="5" t="s">
        <v>505</v>
      </c>
      <c r="R106" s="5">
        <v>110.96</v>
      </c>
      <c r="S106" s="5">
        <v>2</v>
      </c>
      <c r="T106" s="5">
        <v>0</v>
      </c>
      <c r="U106" s="5">
        <v>221.92</v>
      </c>
      <c r="V106" s="7">
        <v>53.260799999999996</v>
      </c>
    </row>
    <row r="107" spans="1:22" ht="15.5" x14ac:dyDescent="0.35">
      <c r="A107" s="8">
        <v>175</v>
      </c>
      <c r="B107" s="9" t="s">
        <v>506</v>
      </c>
      <c r="C107" s="10">
        <v>43357</v>
      </c>
      <c r="D107" s="10">
        <v>43362</v>
      </c>
      <c r="E107" s="9" t="s">
        <v>36</v>
      </c>
      <c r="F107" s="9" t="s">
        <v>507</v>
      </c>
      <c r="G107" s="9" t="s">
        <v>508</v>
      </c>
      <c r="H107" s="9" t="s">
        <v>26</v>
      </c>
      <c r="I107" s="9" t="s">
        <v>27</v>
      </c>
      <c r="J107" s="9" t="s">
        <v>274</v>
      </c>
      <c r="K107" s="9" t="s">
        <v>275</v>
      </c>
      <c r="L107" s="9">
        <v>60623</v>
      </c>
      <c r="M107" s="9" t="s">
        <v>79</v>
      </c>
      <c r="N107" s="9" t="s">
        <v>509</v>
      </c>
      <c r="O107" s="9" t="s">
        <v>32</v>
      </c>
      <c r="P107" s="9" t="s">
        <v>56</v>
      </c>
      <c r="Q107" s="9" t="s">
        <v>510</v>
      </c>
      <c r="R107" s="9">
        <v>52.447999999999993</v>
      </c>
      <c r="S107" s="9">
        <v>2</v>
      </c>
      <c r="T107" s="9">
        <v>0.8</v>
      </c>
      <c r="U107" s="9">
        <v>20.979199999999992</v>
      </c>
      <c r="V107" s="11">
        <v>-131.12000000000003</v>
      </c>
    </row>
    <row r="108" spans="1:22" ht="15.5" x14ac:dyDescent="0.35">
      <c r="A108" s="4">
        <v>176</v>
      </c>
      <c r="B108" s="5" t="s">
        <v>506</v>
      </c>
      <c r="C108" s="6">
        <v>43357</v>
      </c>
      <c r="D108" s="6">
        <v>43362</v>
      </c>
      <c r="E108" s="5" t="s">
        <v>36</v>
      </c>
      <c r="F108" s="5" t="s">
        <v>507</v>
      </c>
      <c r="G108" s="5" t="s">
        <v>508</v>
      </c>
      <c r="H108" s="5" t="s">
        <v>26</v>
      </c>
      <c r="I108" s="5" t="s">
        <v>27</v>
      </c>
      <c r="J108" s="5" t="s">
        <v>274</v>
      </c>
      <c r="K108" s="5" t="s">
        <v>275</v>
      </c>
      <c r="L108" s="5">
        <v>60623</v>
      </c>
      <c r="M108" s="5" t="s">
        <v>79</v>
      </c>
      <c r="N108" s="5" t="s">
        <v>511</v>
      </c>
      <c r="O108" s="5" t="s">
        <v>32</v>
      </c>
      <c r="P108" s="5" t="s">
        <v>33</v>
      </c>
      <c r="Q108" s="5" t="s">
        <v>512</v>
      </c>
      <c r="R108" s="5">
        <v>20.16</v>
      </c>
      <c r="S108" s="5">
        <v>4</v>
      </c>
      <c r="T108" s="5">
        <v>0.2</v>
      </c>
      <c r="U108" s="5">
        <v>64.512</v>
      </c>
      <c r="V108" s="7">
        <v>6.5519999999999987</v>
      </c>
    </row>
    <row r="109" spans="1:22" ht="15.5" x14ac:dyDescent="0.35">
      <c r="A109" s="8">
        <v>177</v>
      </c>
      <c r="B109" s="9" t="s">
        <v>513</v>
      </c>
      <c r="C109" s="10">
        <v>44307</v>
      </c>
      <c r="D109" s="10">
        <v>44311</v>
      </c>
      <c r="E109" s="9" t="s">
        <v>23</v>
      </c>
      <c r="F109" s="9" t="s">
        <v>514</v>
      </c>
      <c r="G109" s="9" t="s">
        <v>515</v>
      </c>
      <c r="H109" s="9" t="s">
        <v>39</v>
      </c>
      <c r="I109" s="9" t="s">
        <v>27</v>
      </c>
      <c r="J109" s="9" t="s">
        <v>140</v>
      </c>
      <c r="K109" s="9" t="s">
        <v>78</v>
      </c>
      <c r="L109" s="9">
        <v>77036</v>
      </c>
      <c r="M109" s="9" t="s">
        <v>79</v>
      </c>
      <c r="N109" s="9" t="s">
        <v>516</v>
      </c>
      <c r="O109" s="9" t="s">
        <v>32</v>
      </c>
      <c r="P109" s="9" t="s">
        <v>56</v>
      </c>
      <c r="Q109" s="9" t="s">
        <v>517</v>
      </c>
      <c r="R109" s="9">
        <v>97.263999999999982</v>
      </c>
      <c r="S109" s="9">
        <v>4</v>
      </c>
      <c r="T109" s="9">
        <v>0.8</v>
      </c>
      <c r="U109" s="9">
        <v>77.811199999999985</v>
      </c>
      <c r="V109" s="11">
        <v>-243.16000000000008</v>
      </c>
    </row>
    <row r="110" spans="1:22" ht="15.5" x14ac:dyDescent="0.35">
      <c r="A110" s="4">
        <v>179</v>
      </c>
      <c r="B110" s="5" t="s">
        <v>518</v>
      </c>
      <c r="C110" s="6">
        <v>43790</v>
      </c>
      <c r="D110" s="6">
        <v>43792</v>
      </c>
      <c r="E110" s="5" t="s">
        <v>23</v>
      </c>
      <c r="F110" s="5" t="s">
        <v>236</v>
      </c>
      <c r="G110" s="5" t="s">
        <v>237</v>
      </c>
      <c r="H110" s="5" t="s">
        <v>39</v>
      </c>
      <c r="I110" s="5" t="s">
        <v>27</v>
      </c>
      <c r="J110" s="5" t="s">
        <v>519</v>
      </c>
      <c r="K110" s="5" t="s">
        <v>360</v>
      </c>
      <c r="L110" s="5">
        <v>43055</v>
      </c>
      <c r="M110" s="5" t="s">
        <v>125</v>
      </c>
      <c r="N110" s="5" t="s">
        <v>520</v>
      </c>
      <c r="O110" s="5" t="s">
        <v>32</v>
      </c>
      <c r="P110" s="5" t="s">
        <v>414</v>
      </c>
      <c r="Q110" s="5" t="s">
        <v>521</v>
      </c>
      <c r="R110" s="5">
        <v>15.88</v>
      </c>
      <c r="S110" s="5">
        <v>5</v>
      </c>
      <c r="T110" s="5">
        <v>0.2</v>
      </c>
      <c r="U110" s="5">
        <v>63.52</v>
      </c>
      <c r="V110" s="7">
        <v>-3.771500000000001</v>
      </c>
    </row>
    <row r="111" spans="1:22" ht="15.5" x14ac:dyDescent="0.35">
      <c r="A111" s="8">
        <v>180</v>
      </c>
      <c r="B111" s="9" t="s">
        <v>522</v>
      </c>
      <c r="C111" s="10">
        <v>43814</v>
      </c>
      <c r="D111" s="10">
        <v>43818</v>
      </c>
      <c r="E111" s="9" t="s">
        <v>36</v>
      </c>
      <c r="F111" s="9" t="s">
        <v>523</v>
      </c>
      <c r="G111" s="9" t="s">
        <v>524</v>
      </c>
      <c r="H111" s="9" t="s">
        <v>76</v>
      </c>
      <c r="I111" s="9" t="s">
        <v>27</v>
      </c>
      <c r="J111" s="9" t="s">
        <v>186</v>
      </c>
      <c r="K111" s="9" t="s">
        <v>187</v>
      </c>
      <c r="L111" s="9">
        <v>10009</v>
      </c>
      <c r="M111" s="9" t="s">
        <v>125</v>
      </c>
      <c r="N111" s="9" t="s">
        <v>525</v>
      </c>
      <c r="O111" s="9" t="s">
        <v>32</v>
      </c>
      <c r="P111" s="9" t="s">
        <v>50</v>
      </c>
      <c r="Q111" s="9" t="s">
        <v>526</v>
      </c>
      <c r="R111" s="9">
        <v>3.28</v>
      </c>
      <c r="S111" s="9">
        <v>1</v>
      </c>
      <c r="T111" s="9">
        <v>0</v>
      </c>
      <c r="U111" s="9">
        <v>3.28</v>
      </c>
      <c r="V111" s="11">
        <v>1.4104000000000001</v>
      </c>
    </row>
    <row r="112" spans="1:22" ht="15.5" x14ac:dyDescent="0.35">
      <c r="A112" s="4">
        <v>181</v>
      </c>
      <c r="B112" s="5" t="s">
        <v>527</v>
      </c>
      <c r="C112" s="6">
        <v>43439</v>
      </c>
      <c r="D112" s="6">
        <v>43443</v>
      </c>
      <c r="E112" s="5" t="s">
        <v>23</v>
      </c>
      <c r="F112" s="5" t="s">
        <v>528</v>
      </c>
      <c r="G112" s="5" t="s">
        <v>529</v>
      </c>
      <c r="H112" s="5" t="s">
        <v>26</v>
      </c>
      <c r="I112" s="5" t="s">
        <v>27</v>
      </c>
      <c r="J112" s="5" t="s">
        <v>252</v>
      </c>
      <c r="K112" s="5" t="s">
        <v>275</v>
      </c>
      <c r="L112" s="5">
        <v>62521</v>
      </c>
      <c r="M112" s="5" t="s">
        <v>79</v>
      </c>
      <c r="N112" s="5" t="s">
        <v>530</v>
      </c>
      <c r="O112" s="5" t="s">
        <v>32</v>
      </c>
      <c r="P112" s="5" t="s">
        <v>44</v>
      </c>
      <c r="Q112" s="5" t="s">
        <v>531</v>
      </c>
      <c r="R112" s="5">
        <v>24.816000000000003</v>
      </c>
      <c r="S112" s="5">
        <v>2</v>
      </c>
      <c r="T112" s="5">
        <v>0.2</v>
      </c>
      <c r="U112" s="5">
        <v>39.705600000000004</v>
      </c>
      <c r="V112" s="7">
        <v>1.8612000000000002</v>
      </c>
    </row>
    <row r="113" spans="1:22" ht="15.5" x14ac:dyDescent="0.35">
      <c r="A113" s="8">
        <v>186</v>
      </c>
      <c r="B113" s="9" t="s">
        <v>532</v>
      </c>
      <c r="C113" s="10">
        <v>44163</v>
      </c>
      <c r="D113" s="10">
        <v>44167</v>
      </c>
      <c r="E113" s="9" t="s">
        <v>36</v>
      </c>
      <c r="F113" s="9" t="s">
        <v>533</v>
      </c>
      <c r="G113" s="9" t="s">
        <v>534</v>
      </c>
      <c r="H113" s="9" t="s">
        <v>39</v>
      </c>
      <c r="I113" s="9" t="s">
        <v>27</v>
      </c>
      <c r="J113" s="9" t="s">
        <v>535</v>
      </c>
      <c r="K113" s="9" t="s">
        <v>536</v>
      </c>
      <c r="L113" s="9">
        <v>6824</v>
      </c>
      <c r="M113" s="9" t="s">
        <v>125</v>
      </c>
      <c r="N113" s="9" t="s">
        <v>537</v>
      </c>
      <c r="O113" s="9" t="s">
        <v>32</v>
      </c>
      <c r="P113" s="9" t="s">
        <v>53</v>
      </c>
      <c r="Q113" s="9" t="s">
        <v>538</v>
      </c>
      <c r="R113" s="9">
        <v>7.16</v>
      </c>
      <c r="S113" s="9">
        <v>2</v>
      </c>
      <c r="T113" s="9">
        <v>0</v>
      </c>
      <c r="U113" s="9">
        <v>14.32</v>
      </c>
      <c r="V113" s="11">
        <v>3.4367999999999999</v>
      </c>
    </row>
    <row r="114" spans="1:22" ht="15.5" x14ac:dyDescent="0.35">
      <c r="A114" s="4">
        <v>188</v>
      </c>
      <c r="B114" s="5" t="s">
        <v>539</v>
      </c>
      <c r="C114" s="6">
        <v>44028</v>
      </c>
      <c r="D114" s="6">
        <v>44034</v>
      </c>
      <c r="E114" s="5" t="s">
        <v>36</v>
      </c>
      <c r="F114" s="5" t="s">
        <v>540</v>
      </c>
      <c r="G114" s="5" t="s">
        <v>541</v>
      </c>
      <c r="H114" s="5" t="s">
        <v>26</v>
      </c>
      <c r="I114" s="5" t="s">
        <v>27</v>
      </c>
      <c r="J114" s="5" t="s">
        <v>542</v>
      </c>
      <c r="K114" s="5" t="s">
        <v>78</v>
      </c>
      <c r="L114" s="5">
        <v>75051</v>
      </c>
      <c r="M114" s="5" t="s">
        <v>79</v>
      </c>
      <c r="N114" s="5" t="s">
        <v>543</v>
      </c>
      <c r="O114" s="5" t="s">
        <v>32</v>
      </c>
      <c r="P114" s="5" t="s">
        <v>44</v>
      </c>
      <c r="Q114" s="5" t="s">
        <v>544</v>
      </c>
      <c r="R114" s="5">
        <v>37.224000000000004</v>
      </c>
      <c r="S114" s="5">
        <v>3</v>
      </c>
      <c r="T114" s="5">
        <v>0.2</v>
      </c>
      <c r="U114" s="5">
        <v>89.337600000000009</v>
      </c>
      <c r="V114" s="7">
        <v>3.7224000000000004</v>
      </c>
    </row>
    <row r="115" spans="1:22" ht="15.5" x14ac:dyDescent="0.35">
      <c r="A115" s="8">
        <v>189</v>
      </c>
      <c r="B115" s="9" t="s">
        <v>539</v>
      </c>
      <c r="C115" s="10">
        <v>44028</v>
      </c>
      <c r="D115" s="10">
        <v>44034</v>
      </c>
      <c r="E115" s="9" t="s">
        <v>36</v>
      </c>
      <c r="F115" s="9" t="s">
        <v>540</v>
      </c>
      <c r="G115" s="9" t="s">
        <v>541</v>
      </c>
      <c r="H115" s="9" t="s">
        <v>26</v>
      </c>
      <c r="I115" s="9" t="s">
        <v>27</v>
      </c>
      <c r="J115" s="9" t="s">
        <v>542</v>
      </c>
      <c r="K115" s="9" t="s">
        <v>78</v>
      </c>
      <c r="L115" s="9">
        <v>75051</v>
      </c>
      <c r="M115" s="9" t="s">
        <v>79</v>
      </c>
      <c r="N115" s="9" t="s">
        <v>452</v>
      </c>
      <c r="O115" s="9" t="s">
        <v>32</v>
      </c>
      <c r="P115" s="9" t="s">
        <v>64</v>
      </c>
      <c r="Q115" s="9" t="s">
        <v>453</v>
      </c>
      <c r="R115" s="9">
        <v>20.016000000000002</v>
      </c>
      <c r="S115" s="9">
        <v>3</v>
      </c>
      <c r="T115" s="9">
        <v>0.2</v>
      </c>
      <c r="U115" s="9">
        <v>48.038400000000003</v>
      </c>
      <c r="V115" s="11">
        <v>6.2549999999999963</v>
      </c>
    </row>
    <row r="116" spans="1:22" ht="15.5" x14ac:dyDescent="0.35">
      <c r="A116" s="4">
        <v>192</v>
      </c>
      <c r="B116" s="5" t="s">
        <v>545</v>
      </c>
      <c r="C116" s="6">
        <v>43750</v>
      </c>
      <c r="D116" s="6">
        <v>43752</v>
      </c>
      <c r="E116" s="5" t="s">
        <v>160</v>
      </c>
      <c r="F116" s="5" t="s">
        <v>546</v>
      </c>
      <c r="G116" s="5" t="s">
        <v>547</v>
      </c>
      <c r="H116" s="5" t="s">
        <v>76</v>
      </c>
      <c r="I116" s="5" t="s">
        <v>27</v>
      </c>
      <c r="J116" s="5" t="s">
        <v>186</v>
      </c>
      <c r="K116" s="5" t="s">
        <v>187</v>
      </c>
      <c r="L116" s="5">
        <v>10035</v>
      </c>
      <c r="M116" s="5" t="s">
        <v>125</v>
      </c>
      <c r="N116" s="5" t="s">
        <v>548</v>
      </c>
      <c r="O116" s="5" t="s">
        <v>32</v>
      </c>
      <c r="P116" s="5" t="s">
        <v>64</v>
      </c>
      <c r="Q116" s="5" t="s">
        <v>549</v>
      </c>
      <c r="R116" s="5">
        <v>51.84</v>
      </c>
      <c r="S116" s="5">
        <v>8</v>
      </c>
      <c r="T116" s="5">
        <v>0</v>
      </c>
      <c r="U116" s="5">
        <v>414.72</v>
      </c>
      <c r="V116" s="7">
        <v>24.883200000000002</v>
      </c>
    </row>
    <row r="117" spans="1:22" ht="15.5" x14ac:dyDescent="0.35">
      <c r="A117" s="8">
        <v>194</v>
      </c>
      <c r="B117" s="9" t="s">
        <v>545</v>
      </c>
      <c r="C117" s="10">
        <v>43750</v>
      </c>
      <c r="D117" s="10">
        <v>43752</v>
      </c>
      <c r="E117" s="9" t="s">
        <v>160</v>
      </c>
      <c r="F117" s="9" t="s">
        <v>546</v>
      </c>
      <c r="G117" s="9" t="s">
        <v>547</v>
      </c>
      <c r="H117" s="9" t="s">
        <v>76</v>
      </c>
      <c r="I117" s="9" t="s">
        <v>27</v>
      </c>
      <c r="J117" s="9" t="s">
        <v>186</v>
      </c>
      <c r="K117" s="9" t="s">
        <v>187</v>
      </c>
      <c r="L117" s="9">
        <v>10035</v>
      </c>
      <c r="M117" s="9" t="s">
        <v>125</v>
      </c>
      <c r="N117" s="9" t="s">
        <v>550</v>
      </c>
      <c r="O117" s="9" t="s">
        <v>32</v>
      </c>
      <c r="P117" s="9" t="s">
        <v>50</v>
      </c>
      <c r="Q117" s="9" t="s">
        <v>551</v>
      </c>
      <c r="R117" s="9">
        <v>19.899999999999999</v>
      </c>
      <c r="S117" s="9">
        <v>5</v>
      </c>
      <c r="T117" s="9">
        <v>0</v>
      </c>
      <c r="U117" s="9">
        <v>99.5</v>
      </c>
      <c r="V117" s="11">
        <v>6.5669999999999984</v>
      </c>
    </row>
    <row r="118" spans="1:22" ht="15.5" x14ac:dyDescent="0.35">
      <c r="A118" s="4">
        <v>195</v>
      </c>
      <c r="B118" s="5" t="s">
        <v>552</v>
      </c>
      <c r="C118" s="6">
        <v>43769</v>
      </c>
      <c r="D118" s="6">
        <v>43775</v>
      </c>
      <c r="E118" s="5" t="s">
        <v>36</v>
      </c>
      <c r="F118" s="5" t="s">
        <v>553</v>
      </c>
      <c r="G118" s="5" t="s">
        <v>554</v>
      </c>
      <c r="H118" s="5" t="s">
        <v>26</v>
      </c>
      <c r="I118" s="5" t="s">
        <v>27</v>
      </c>
      <c r="J118" s="5" t="s">
        <v>555</v>
      </c>
      <c r="K118" s="5" t="s">
        <v>29</v>
      </c>
      <c r="L118" s="5">
        <v>92374</v>
      </c>
      <c r="M118" s="5" t="s">
        <v>30</v>
      </c>
      <c r="N118" s="5" t="s">
        <v>128</v>
      </c>
      <c r="O118" s="5" t="s">
        <v>32</v>
      </c>
      <c r="P118" s="5" t="s">
        <v>129</v>
      </c>
      <c r="Q118" s="5" t="s">
        <v>130</v>
      </c>
      <c r="R118" s="5">
        <v>14.280000000000001</v>
      </c>
      <c r="S118" s="5">
        <v>7</v>
      </c>
      <c r="T118" s="5">
        <v>0</v>
      </c>
      <c r="U118" s="5">
        <v>99.960000000000008</v>
      </c>
      <c r="V118" s="7">
        <v>6.7115999999999989</v>
      </c>
    </row>
    <row r="119" spans="1:22" ht="15.5" x14ac:dyDescent="0.35">
      <c r="A119" s="8">
        <v>196</v>
      </c>
      <c r="B119" s="9" t="s">
        <v>556</v>
      </c>
      <c r="C119" s="10">
        <v>43180</v>
      </c>
      <c r="D119" s="10">
        <v>43184</v>
      </c>
      <c r="E119" s="9" t="s">
        <v>36</v>
      </c>
      <c r="F119" s="9" t="s">
        <v>557</v>
      </c>
      <c r="G119" s="9" t="s">
        <v>558</v>
      </c>
      <c r="H119" s="9" t="s">
        <v>39</v>
      </c>
      <c r="I119" s="9" t="s">
        <v>27</v>
      </c>
      <c r="J119" s="9" t="s">
        <v>559</v>
      </c>
      <c r="K119" s="9" t="s">
        <v>360</v>
      </c>
      <c r="L119" s="9">
        <v>45011</v>
      </c>
      <c r="M119" s="9" t="s">
        <v>125</v>
      </c>
      <c r="N119" s="9" t="s">
        <v>560</v>
      </c>
      <c r="O119" s="9" t="s">
        <v>32</v>
      </c>
      <c r="P119" s="9" t="s">
        <v>50</v>
      </c>
      <c r="Q119" s="9" t="s">
        <v>561</v>
      </c>
      <c r="R119" s="9">
        <v>7.4080000000000004</v>
      </c>
      <c r="S119" s="9">
        <v>2</v>
      </c>
      <c r="T119" s="9">
        <v>0.2</v>
      </c>
      <c r="U119" s="9">
        <v>11.8528</v>
      </c>
      <c r="V119" s="11">
        <v>1.2037999999999995</v>
      </c>
    </row>
    <row r="120" spans="1:22" ht="15.5" x14ac:dyDescent="0.35">
      <c r="A120" s="4">
        <v>197</v>
      </c>
      <c r="B120" s="5" t="s">
        <v>556</v>
      </c>
      <c r="C120" s="6">
        <v>43180</v>
      </c>
      <c r="D120" s="6">
        <v>43184</v>
      </c>
      <c r="E120" s="5" t="s">
        <v>36</v>
      </c>
      <c r="F120" s="5" t="s">
        <v>557</v>
      </c>
      <c r="G120" s="5" t="s">
        <v>558</v>
      </c>
      <c r="H120" s="5" t="s">
        <v>39</v>
      </c>
      <c r="I120" s="5" t="s">
        <v>27</v>
      </c>
      <c r="J120" s="5" t="s">
        <v>559</v>
      </c>
      <c r="K120" s="5" t="s">
        <v>360</v>
      </c>
      <c r="L120" s="5">
        <v>45011</v>
      </c>
      <c r="M120" s="5" t="s">
        <v>125</v>
      </c>
      <c r="N120" s="5" t="s">
        <v>562</v>
      </c>
      <c r="O120" s="5" t="s">
        <v>32</v>
      </c>
      <c r="P120" s="5" t="s">
        <v>50</v>
      </c>
      <c r="Q120" s="5" t="s">
        <v>563</v>
      </c>
      <c r="R120" s="5">
        <v>6.048</v>
      </c>
      <c r="S120" s="5">
        <v>3</v>
      </c>
      <c r="T120" s="5">
        <v>0.2</v>
      </c>
      <c r="U120" s="5">
        <v>14.515199999999998</v>
      </c>
      <c r="V120" s="7">
        <v>1.5876000000000006</v>
      </c>
    </row>
    <row r="121" spans="1:22" ht="15.5" x14ac:dyDescent="0.35">
      <c r="A121" s="8">
        <v>198</v>
      </c>
      <c r="B121" s="9" t="s">
        <v>564</v>
      </c>
      <c r="C121" s="10">
        <v>44506</v>
      </c>
      <c r="D121" s="10">
        <v>44513</v>
      </c>
      <c r="E121" s="9" t="s">
        <v>36</v>
      </c>
      <c r="F121" s="9" t="s">
        <v>565</v>
      </c>
      <c r="G121" s="9" t="s">
        <v>566</v>
      </c>
      <c r="H121" s="9" t="s">
        <v>76</v>
      </c>
      <c r="I121" s="9" t="s">
        <v>27</v>
      </c>
      <c r="J121" s="9" t="s">
        <v>567</v>
      </c>
      <c r="K121" s="9" t="s">
        <v>568</v>
      </c>
      <c r="L121" s="9">
        <v>7090</v>
      </c>
      <c r="M121" s="9" t="s">
        <v>125</v>
      </c>
      <c r="N121" s="9" t="s">
        <v>569</v>
      </c>
      <c r="O121" s="9" t="s">
        <v>32</v>
      </c>
      <c r="P121" s="9" t="s">
        <v>44</v>
      </c>
      <c r="Q121" s="9" t="s">
        <v>570</v>
      </c>
      <c r="R121" s="9">
        <v>46.26</v>
      </c>
      <c r="S121" s="9">
        <v>3</v>
      </c>
      <c r="T121" s="9">
        <v>0</v>
      </c>
      <c r="U121" s="9">
        <v>138.78</v>
      </c>
      <c r="V121" s="11">
        <v>12.0276</v>
      </c>
    </row>
    <row r="122" spans="1:22" ht="15.5" x14ac:dyDescent="0.35">
      <c r="A122" s="4">
        <v>199</v>
      </c>
      <c r="B122" s="5" t="s">
        <v>571</v>
      </c>
      <c r="C122" s="6">
        <v>44383</v>
      </c>
      <c r="D122" s="6">
        <v>44390</v>
      </c>
      <c r="E122" s="5" t="s">
        <v>36</v>
      </c>
      <c r="F122" s="5" t="s">
        <v>572</v>
      </c>
      <c r="G122" s="5" t="s">
        <v>573</v>
      </c>
      <c r="H122" s="5" t="s">
        <v>26</v>
      </c>
      <c r="I122" s="5" t="s">
        <v>27</v>
      </c>
      <c r="J122" s="5" t="s">
        <v>123</v>
      </c>
      <c r="K122" s="5" t="s">
        <v>124</v>
      </c>
      <c r="L122" s="5">
        <v>19120</v>
      </c>
      <c r="M122" s="5" t="s">
        <v>125</v>
      </c>
      <c r="N122" s="5" t="s">
        <v>574</v>
      </c>
      <c r="O122" s="5" t="s">
        <v>32</v>
      </c>
      <c r="P122" s="5" t="s">
        <v>53</v>
      </c>
      <c r="Q122" s="5" t="s">
        <v>575</v>
      </c>
      <c r="R122" s="5">
        <v>2.9460000000000006</v>
      </c>
      <c r="S122" s="5">
        <v>2</v>
      </c>
      <c r="T122" s="5">
        <v>0.7</v>
      </c>
      <c r="U122" s="5">
        <v>1.7676000000000007</v>
      </c>
      <c r="V122" s="7">
        <v>-2.2585999999999995</v>
      </c>
    </row>
    <row r="123" spans="1:22" ht="15.5" x14ac:dyDescent="0.35">
      <c r="A123" s="8">
        <v>200</v>
      </c>
      <c r="B123" s="9" t="s">
        <v>571</v>
      </c>
      <c r="C123" s="10">
        <v>44383</v>
      </c>
      <c r="D123" s="10">
        <v>44390</v>
      </c>
      <c r="E123" s="9" t="s">
        <v>36</v>
      </c>
      <c r="F123" s="9" t="s">
        <v>572</v>
      </c>
      <c r="G123" s="9" t="s">
        <v>573</v>
      </c>
      <c r="H123" s="9" t="s">
        <v>26</v>
      </c>
      <c r="I123" s="9" t="s">
        <v>27</v>
      </c>
      <c r="J123" s="9" t="s">
        <v>123</v>
      </c>
      <c r="K123" s="9" t="s">
        <v>124</v>
      </c>
      <c r="L123" s="9">
        <v>19120</v>
      </c>
      <c r="M123" s="9" t="s">
        <v>125</v>
      </c>
      <c r="N123" s="9" t="s">
        <v>576</v>
      </c>
      <c r="O123" s="9" t="s">
        <v>32</v>
      </c>
      <c r="P123" s="9" t="s">
        <v>64</v>
      </c>
      <c r="Q123" s="9" t="s">
        <v>577</v>
      </c>
      <c r="R123" s="9">
        <v>16.056000000000001</v>
      </c>
      <c r="S123" s="9">
        <v>3</v>
      </c>
      <c r="T123" s="9">
        <v>0.2</v>
      </c>
      <c r="U123" s="9">
        <v>38.534400000000005</v>
      </c>
      <c r="V123" s="11">
        <v>5.8203000000000005</v>
      </c>
    </row>
    <row r="124" spans="1:22" ht="15.5" x14ac:dyDescent="0.35">
      <c r="A124" s="4">
        <v>201</v>
      </c>
      <c r="B124" s="5" t="s">
        <v>578</v>
      </c>
      <c r="C124" s="6">
        <v>44371</v>
      </c>
      <c r="D124" s="6">
        <v>44376</v>
      </c>
      <c r="E124" s="5" t="s">
        <v>36</v>
      </c>
      <c r="F124" s="5" t="s">
        <v>579</v>
      </c>
      <c r="G124" s="5" t="s">
        <v>580</v>
      </c>
      <c r="H124" s="5" t="s">
        <v>39</v>
      </c>
      <c r="I124" s="5" t="s">
        <v>27</v>
      </c>
      <c r="J124" s="5" t="s">
        <v>581</v>
      </c>
      <c r="K124" s="5" t="s">
        <v>360</v>
      </c>
      <c r="L124" s="5">
        <v>44312</v>
      </c>
      <c r="M124" s="5" t="s">
        <v>125</v>
      </c>
      <c r="N124" s="5" t="s">
        <v>582</v>
      </c>
      <c r="O124" s="5" t="s">
        <v>32</v>
      </c>
      <c r="P124" s="5" t="s">
        <v>64</v>
      </c>
      <c r="Q124" s="5" t="s">
        <v>583</v>
      </c>
      <c r="R124" s="5">
        <v>21.744000000000003</v>
      </c>
      <c r="S124" s="5">
        <v>3</v>
      </c>
      <c r="T124" s="5">
        <v>0.2</v>
      </c>
      <c r="U124" s="5">
        <v>52.185600000000008</v>
      </c>
      <c r="V124" s="7">
        <v>6.794999999999999</v>
      </c>
    </row>
    <row r="125" spans="1:22" ht="15.5" x14ac:dyDescent="0.35">
      <c r="A125" s="8">
        <v>203</v>
      </c>
      <c r="B125" s="9" t="s">
        <v>584</v>
      </c>
      <c r="C125" s="10">
        <v>43315</v>
      </c>
      <c r="D125" s="10">
        <v>43317</v>
      </c>
      <c r="E125" s="9" t="s">
        <v>160</v>
      </c>
      <c r="F125" s="9" t="s">
        <v>585</v>
      </c>
      <c r="G125" s="9" t="s">
        <v>586</v>
      </c>
      <c r="H125" s="9" t="s">
        <v>39</v>
      </c>
      <c r="I125" s="9" t="s">
        <v>27</v>
      </c>
      <c r="J125" s="9" t="s">
        <v>587</v>
      </c>
      <c r="K125" s="9" t="s">
        <v>338</v>
      </c>
      <c r="L125" s="9">
        <v>80219</v>
      </c>
      <c r="M125" s="9" t="s">
        <v>30</v>
      </c>
      <c r="N125" s="9" t="s">
        <v>588</v>
      </c>
      <c r="O125" s="9" t="s">
        <v>32</v>
      </c>
      <c r="P125" s="9" t="s">
        <v>56</v>
      </c>
      <c r="Q125" s="9" t="s">
        <v>589</v>
      </c>
      <c r="R125" s="9">
        <v>2.6</v>
      </c>
      <c r="S125" s="9">
        <v>1</v>
      </c>
      <c r="T125" s="9">
        <v>0.2</v>
      </c>
      <c r="U125" s="9">
        <v>2.08</v>
      </c>
      <c r="V125" s="11">
        <v>0.29249999999999987</v>
      </c>
    </row>
    <row r="126" spans="1:22" ht="15.5" x14ac:dyDescent="0.35">
      <c r="A126" s="4">
        <v>204</v>
      </c>
      <c r="B126" s="5" t="s">
        <v>590</v>
      </c>
      <c r="C126" s="6">
        <v>44547</v>
      </c>
      <c r="D126" s="6">
        <v>44551</v>
      </c>
      <c r="E126" s="5" t="s">
        <v>23</v>
      </c>
      <c r="F126" s="5" t="s">
        <v>591</v>
      </c>
      <c r="G126" s="5" t="s">
        <v>592</v>
      </c>
      <c r="H126" s="5" t="s">
        <v>39</v>
      </c>
      <c r="I126" s="5" t="s">
        <v>27</v>
      </c>
      <c r="J126" s="5" t="s">
        <v>593</v>
      </c>
      <c r="K126" s="5" t="s">
        <v>78</v>
      </c>
      <c r="L126" s="5">
        <v>75220</v>
      </c>
      <c r="M126" s="5" t="s">
        <v>79</v>
      </c>
      <c r="N126" s="5" t="s">
        <v>594</v>
      </c>
      <c r="O126" s="5" t="s">
        <v>32</v>
      </c>
      <c r="P126" s="5" t="s">
        <v>56</v>
      </c>
      <c r="Q126" s="5" t="s">
        <v>595</v>
      </c>
      <c r="R126" s="5">
        <v>66.283999999999992</v>
      </c>
      <c r="S126" s="5">
        <v>2</v>
      </c>
      <c r="T126" s="5">
        <v>0.8</v>
      </c>
      <c r="U126" s="5">
        <v>26.513599999999997</v>
      </c>
      <c r="V126" s="7">
        <v>-178.96680000000001</v>
      </c>
    </row>
    <row r="127" spans="1:22" ht="15.5" x14ac:dyDescent="0.35">
      <c r="A127" s="8">
        <v>207</v>
      </c>
      <c r="B127" s="9" t="s">
        <v>596</v>
      </c>
      <c r="C127" s="10">
        <v>44531</v>
      </c>
      <c r="D127" s="10">
        <v>44537</v>
      </c>
      <c r="E127" s="9" t="s">
        <v>36</v>
      </c>
      <c r="F127" s="9" t="s">
        <v>597</v>
      </c>
      <c r="G127" s="9" t="s">
        <v>598</v>
      </c>
      <c r="H127" s="9" t="s">
        <v>39</v>
      </c>
      <c r="I127" s="9" t="s">
        <v>27</v>
      </c>
      <c r="J127" s="9" t="s">
        <v>599</v>
      </c>
      <c r="K127" s="9" t="s">
        <v>171</v>
      </c>
      <c r="L127" s="9">
        <v>48601</v>
      </c>
      <c r="M127" s="9" t="s">
        <v>79</v>
      </c>
      <c r="N127" s="9" t="s">
        <v>600</v>
      </c>
      <c r="O127" s="9" t="s">
        <v>32</v>
      </c>
      <c r="P127" s="9" t="s">
        <v>44</v>
      </c>
      <c r="Q127" s="9" t="s">
        <v>601</v>
      </c>
      <c r="R127" s="9">
        <v>83.92</v>
      </c>
      <c r="S127" s="9">
        <v>4</v>
      </c>
      <c r="T127" s="9">
        <v>0</v>
      </c>
      <c r="U127" s="9">
        <v>335.68</v>
      </c>
      <c r="V127" s="11">
        <v>5.8743999999999943</v>
      </c>
    </row>
    <row r="128" spans="1:22" ht="15.5" x14ac:dyDescent="0.35">
      <c r="A128" s="4">
        <v>209</v>
      </c>
      <c r="B128" s="5" t="s">
        <v>596</v>
      </c>
      <c r="C128" s="6">
        <v>44531</v>
      </c>
      <c r="D128" s="6">
        <v>44537</v>
      </c>
      <c r="E128" s="5" t="s">
        <v>36</v>
      </c>
      <c r="F128" s="5" t="s">
        <v>597</v>
      </c>
      <c r="G128" s="5" t="s">
        <v>598</v>
      </c>
      <c r="H128" s="5" t="s">
        <v>39</v>
      </c>
      <c r="I128" s="5" t="s">
        <v>27</v>
      </c>
      <c r="J128" s="5" t="s">
        <v>599</v>
      </c>
      <c r="K128" s="5" t="s">
        <v>171</v>
      </c>
      <c r="L128" s="5">
        <v>48601</v>
      </c>
      <c r="M128" s="5" t="s">
        <v>79</v>
      </c>
      <c r="N128" s="5" t="s">
        <v>388</v>
      </c>
      <c r="O128" s="5" t="s">
        <v>32</v>
      </c>
      <c r="P128" s="5" t="s">
        <v>53</v>
      </c>
      <c r="Q128" s="5" t="s">
        <v>389</v>
      </c>
      <c r="R128" s="5">
        <v>15.92</v>
      </c>
      <c r="S128" s="5">
        <v>4</v>
      </c>
      <c r="T128" s="5">
        <v>0</v>
      </c>
      <c r="U128" s="5">
        <v>63.68</v>
      </c>
      <c r="V128" s="7">
        <v>7.4824000000000002</v>
      </c>
    </row>
    <row r="129" spans="1:22" ht="15.5" x14ac:dyDescent="0.35">
      <c r="A129" s="8">
        <v>210</v>
      </c>
      <c r="B129" s="9" t="s">
        <v>596</v>
      </c>
      <c r="C129" s="10">
        <v>44531</v>
      </c>
      <c r="D129" s="10">
        <v>44537</v>
      </c>
      <c r="E129" s="9" t="s">
        <v>36</v>
      </c>
      <c r="F129" s="9" t="s">
        <v>597</v>
      </c>
      <c r="G129" s="9" t="s">
        <v>598</v>
      </c>
      <c r="H129" s="9" t="s">
        <v>39</v>
      </c>
      <c r="I129" s="9" t="s">
        <v>27</v>
      </c>
      <c r="J129" s="9" t="s">
        <v>599</v>
      </c>
      <c r="K129" s="9" t="s">
        <v>171</v>
      </c>
      <c r="L129" s="9">
        <v>48601</v>
      </c>
      <c r="M129" s="9" t="s">
        <v>79</v>
      </c>
      <c r="N129" s="9" t="s">
        <v>602</v>
      </c>
      <c r="O129" s="9" t="s">
        <v>32</v>
      </c>
      <c r="P129" s="9" t="s">
        <v>189</v>
      </c>
      <c r="Q129" s="9" t="s">
        <v>603</v>
      </c>
      <c r="R129" s="9">
        <v>52.29</v>
      </c>
      <c r="S129" s="9">
        <v>9</v>
      </c>
      <c r="T129" s="9">
        <v>0</v>
      </c>
      <c r="U129" s="9">
        <v>470.61</v>
      </c>
      <c r="V129" s="11">
        <v>16.209899999999998</v>
      </c>
    </row>
    <row r="130" spans="1:22" ht="15.5" x14ac:dyDescent="0.35">
      <c r="A130" s="4">
        <v>211</v>
      </c>
      <c r="B130" s="5" t="s">
        <v>596</v>
      </c>
      <c r="C130" s="6">
        <v>44531</v>
      </c>
      <c r="D130" s="6">
        <v>44537</v>
      </c>
      <c r="E130" s="5" t="s">
        <v>36</v>
      </c>
      <c r="F130" s="5" t="s">
        <v>597</v>
      </c>
      <c r="G130" s="5" t="s">
        <v>598</v>
      </c>
      <c r="H130" s="5" t="s">
        <v>39</v>
      </c>
      <c r="I130" s="5" t="s">
        <v>27</v>
      </c>
      <c r="J130" s="5" t="s">
        <v>599</v>
      </c>
      <c r="K130" s="5" t="s">
        <v>171</v>
      </c>
      <c r="L130" s="5">
        <v>48601</v>
      </c>
      <c r="M130" s="5" t="s">
        <v>79</v>
      </c>
      <c r="N130" s="5" t="s">
        <v>604</v>
      </c>
      <c r="O130" s="5" t="s">
        <v>32</v>
      </c>
      <c r="P130" s="5" t="s">
        <v>44</v>
      </c>
      <c r="Q130" s="5" t="s">
        <v>605</v>
      </c>
      <c r="R130" s="5">
        <v>91.99</v>
      </c>
      <c r="S130" s="5">
        <v>1</v>
      </c>
      <c r="T130" s="5">
        <v>0</v>
      </c>
      <c r="U130" s="5">
        <v>91.99</v>
      </c>
      <c r="V130" s="7">
        <v>3.6795999999999935</v>
      </c>
    </row>
    <row r="131" spans="1:22" ht="15.5" x14ac:dyDescent="0.35">
      <c r="A131" s="8">
        <v>213</v>
      </c>
      <c r="B131" s="9" t="s">
        <v>606</v>
      </c>
      <c r="C131" s="10">
        <v>43467</v>
      </c>
      <c r="D131" s="10">
        <v>43474</v>
      </c>
      <c r="E131" s="9" t="s">
        <v>36</v>
      </c>
      <c r="F131" s="9" t="s">
        <v>607</v>
      </c>
      <c r="G131" s="9" t="s">
        <v>608</v>
      </c>
      <c r="H131" s="9" t="s">
        <v>26</v>
      </c>
      <c r="I131" s="9" t="s">
        <v>27</v>
      </c>
      <c r="J131" s="9" t="s">
        <v>609</v>
      </c>
      <c r="K131" s="9" t="s">
        <v>360</v>
      </c>
      <c r="L131" s="9">
        <v>44256</v>
      </c>
      <c r="M131" s="9" t="s">
        <v>125</v>
      </c>
      <c r="N131" s="9" t="s">
        <v>610</v>
      </c>
      <c r="O131" s="9" t="s">
        <v>32</v>
      </c>
      <c r="P131" s="9" t="s">
        <v>33</v>
      </c>
      <c r="Q131" s="9" t="s">
        <v>611</v>
      </c>
      <c r="R131" s="9">
        <v>23.680000000000003</v>
      </c>
      <c r="S131" s="9">
        <v>2</v>
      </c>
      <c r="T131" s="9">
        <v>0.2</v>
      </c>
      <c r="U131" s="9">
        <v>37.888000000000005</v>
      </c>
      <c r="V131" s="11">
        <v>8.879999999999999</v>
      </c>
    </row>
    <row r="132" spans="1:22" ht="15.5" x14ac:dyDescent="0.35">
      <c r="A132" s="4">
        <v>218</v>
      </c>
      <c r="B132" s="5" t="s">
        <v>612</v>
      </c>
      <c r="C132" s="6">
        <v>44132</v>
      </c>
      <c r="D132" s="6">
        <v>44136</v>
      </c>
      <c r="E132" s="5" t="s">
        <v>36</v>
      </c>
      <c r="F132" s="5" t="s">
        <v>613</v>
      </c>
      <c r="G132" s="5" t="s">
        <v>614</v>
      </c>
      <c r="H132" s="5" t="s">
        <v>39</v>
      </c>
      <c r="I132" s="5" t="s">
        <v>27</v>
      </c>
      <c r="J132" s="5" t="s">
        <v>28</v>
      </c>
      <c r="K132" s="5" t="s">
        <v>29</v>
      </c>
      <c r="L132" s="5">
        <v>90032</v>
      </c>
      <c r="M132" s="5" t="s">
        <v>30</v>
      </c>
      <c r="N132" s="5" t="s">
        <v>543</v>
      </c>
      <c r="O132" s="5" t="s">
        <v>32</v>
      </c>
      <c r="P132" s="5" t="s">
        <v>44</v>
      </c>
      <c r="Q132" s="5" t="s">
        <v>544</v>
      </c>
      <c r="R132" s="5">
        <v>93.06</v>
      </c>
      <c r="S132" s="5">
        <v>6</v>
      </c>
      <c r="T132" s="5">
        <v>0</v>
      </c>
      <c r="U132" s="5">
        <v>558.36</v>
      </c>
      <c r="V132" s="7">
        <v>26.056800000000003</v>
      </c>
    </row>
    <row r="133" spans="1:22" ht="15.5" x14ac:dyDescent="0.35">
      <c r="A133" s="8">
        <v>220</v>
      </c>
      <c r="B133" s="9" t="s">
        <v>615</v>
      </c>
      <c r="C133" s="10">
        <v>43823</v>
      </c>
      <c r="D133" s="10">
        <v>43826</v>
      </c>
      <c r="E133" s="9" t="s">
        <v>160</v>
      </c>
      <c r="F133" s="9" t="s">
        <v>616</v>
      </c>
      <c r="G133" s="9" t="s">
        <v>617</v>
      </c>
      <c r="H133" s="9" t="s">
        <v>39</v>
      </c>
      <c r="I133" s="9" t="s">
        <v>27</v>
      </c>
      <c r="J133" s="9" t="s">
        <v>618</v>
      </c>
      <c r="K133" s="9" t="s">
        <v>360</v>
      </c>
      <c r="L133" s="9">
        <v>43017</v>
      </c>
      <c r="M133" s="9" t="s">
        <v>125</v>
      </c>
      <c r="N133" s="9" t="s">
        <v>619</v>
      </c>
      <c r="O133" s="9" t="s">
        <v>32</v>
      </c>
      <c r="P133" s="9" t="s">
        <v>189</v>
      </c>
      <c r="Q133" s="9" t="s">
        <v>620</v>
      </c>
      <c r="R133" s="9">
        <v>5.5840000000000005</v>
      </c>
      <c r="S133" s="9">
        <v>2</v>
      </c>
      <c r="T133" s="9">
        <v>0.2</v>
      </c>
      <c r="U133" s="9">
        <v>8.9344000000000001</v>
      </c>
      <c r="V133" s="11">
        <v>1.8147999999999997</v>
      </c>
    </row>
    <row r="134" spans="1:22" ht="15.5" x14ac:dyDescent="0.35">
      <c r="A134" s="4">
        <v>221</v>
      </c>
      <c r="B134" s="5" t="s">
        <v>615</v>
      </c>
      <c r="C134" s="6">
        <v>43823</v>
      </c>
      <c r="D134" s="6">
        <v>43826</v>
      </c>
      <c r="E134" s="5" t="s">
        <v>160</v>
      </c>
      <c r="F134" s="5" t="s">
        <v>616</v>
      </c>
      <c r="G134" s="5" t="s">
        <v>617</v>
      </c>
      <c r="H134" s="5" t="s">
        <v>39</v>
      </c>
      <c r="I134" s="5" t="s">
        <v>27</v>
      </c>
      <c r="J134" s="5" t="s">
        <v>618</v>
      </c>
      <c r="K134" s="5" t="s">
        <v>360</v>
      </c>
      <c r="L134" s="5">
        <v>43017</v>
      </c>
      <c r="M134" s="5" t="s">
        <v>125</v>
      </c>
      <c r="N134" s="5" t="s">
        <v>621</v>
      </c>
      <c r="O134" s="5" t="s">
        <v>32</v>
      </c>
      <c r="P134" s="5" t="s">
        <v>64</v>
      </c>
      <c r="Q134" s="5" t="s">
        <v>622</v>
      </c>
      <c r="R134" s="5">
        <v>22.704000000000004</v>
      </c>
      <c r="S134" s="5">
        <v>6</v>
      </c>
      <c r="T134" s="5">
        <v>0.2</v>
      </c>
      <c r="U134" s="5">
        <v>108.97920000000002</v>
      </c>
      <c r="V134" s="7">
        <v>8.2302</v>
      </c>
    </row>
    <row r="135" spans="1:22" ht="15.5" x14ac:dyDescent="0.35">
      <c r="A135" s="8">
        <v>222</v>
      </c>
      <c r="B135" s="9" t="s">
        <v>615</v>
      </c>
      <c r="C135" s="10">
        <v>43823</v>
      </c>
      <c r="D135" s="10">
        <v>43826</v>
      </c>
      <c r="E135" s="9" t="s">
        <v>160</v>
      </c>
      <c r="F135" s="9" t="s">
        <v>616</v>
      </c>
      <c r="G135" s="9" t="s">
        <v>617</v>
      </c>
      <c r="H135" s="9" t="s">
        <v>39</v>
      </c>
      <c r="I135" s="9" t="s">
        <v>27</v>
      </c>
      <c r="J135" s="9" t="s">
        <v>618</v>
      </c>
      <c r="K135" s="9" t="s">
        <v>360</v>
      </c>
      <c r="L135" s="9">
        <v>43017</v>
      </c>
      <c r="M135" s="9" t="s">
        <v>125</v>
      </c>
      <c r="N135" s="9" t="s">
        <v>302</v>
      </c>
      <c r="O135" s="9" t="s">
        <v>32</v>
      </c>
      <c r="P135" s="9" t="s">
        <v>53</v>
      </c>
      <c r="Q135" s="9" t="s">
        <v>303</v>
      </c>
      <c r="R135" s="9">
        <v>19.776000000000003</v>
      </c>
      <c r="S135" s="9">
        <v>4</v>
      </c>
      <c r="T135" s="9">
        <v>0.7</v>
      </c>
      <c r="U135" s="9">
        <v>23.731200000000008</v>
      </c>
      <c r="V135" s="11">
        <v>-13.843199999999996</v>
      </c>
    </row>
    <row r="136" spans="1:22" ht="15.5" x14ac:dyDescent="0.35">
      <c r="A136" s="4">
        <v>225</v>
      </c>
      <c r="B136" s="5" t="s">
        <v>615</v>
      </c>
      <c r="C136" s="6">
        <v>43823</v>
      </c>
      <c r="D136" s="6">
        <v>43826</v>
      </c>
      <c r="E136" s="5" t="s">
        <v>160</v>
      </c>
      <c r="F136" s="5" t="s">
        <v>616</v>
      </c>
      <c r="G136" s="5" t="s">
        <v>617</v>
      </c>
      <c r="H136" s="5" t="s">
        <v>39</v>
      </c>
      <c r="I136" s="5" t="s">
        <v>27</v>
      </c>
      <c r="J136" s="5" t="s">
        <v>618</v>
      </c>
      <c r="K136" s="5" t="s">
        <v>360</v>
      </c>
      <c r="L136" s="5">
        <v>43017</v>
      </c>
      <c r="M136" s="5" t="s">
        <v>125</v>
      </c>
      <c r="N136" s="5" t="s">
        <v>623</v>
      </c>
      <c r="O136" s="5" t="s">
        <v>32</v>
      </c>
      <c r="P136" s="5" t="s">
        <v>50</v>
      </c>
      <c r="Q136" s="5" t="s">
        <v>624</v>
      </c>
      <c r="R136" s="5">
        <v>27.168000000000003</v>
      </c>
      <c r="S136" s="5">
        <v>2</v>
      </c>
      <c r="T136" s="5">
        <v>0.2</v>
      </c>
      <c r="U136" s="5">
        <v>43.468800000000002</v>
      </c>
      <c r="V136" s="7">
        <v>2.7168000000000001</v>
      </c>
    </row>
    <row r="137" spans="1:22" ht="15.5" x14ac:dyDescent="0.35">
      <c r="A137" s="8">
        <v>226</v>
      </c>
      <c r="B137" s="9" t="s">
        <v>625</v>
      </c>
      <c r="C137" s="10">
        <v>43686</v>
      </c>
      <c r="D137" s="10">
        <v>43693</v>
      </c>
      <c r="E137" s="9" t="s">
        <v>36</v>
      </c>
      <c r="F137" s="9" t="s">
        <v>626</v>
      </c>
      <c r="G137" s="9" t="s">
        <v>627</v>
      </c>
      <c r="H137" s="9" t="s">
        <v>26</v>
      </c>
      <c r="I137" s="9" t="s">
        <v>27</v>
      </c>
      <c r="J137" s="9" t="s">
        <v>628</v>
      </c>
      <c r="K137" s="9" t="s">
        <v>171</v>
      </c>
      <c r="L137" s="9">
        <v>48227</v>
      </c>
      <c r="M137" s="9" t="s">
        <v>79</v>
      </c>
      <c r="N137" s="9" t="s">
        <v>629</v>
      </c>
      <c r="O137" s="9" t="s">
        <v>32</v>
      </c>
      <c r="P137" s="9" t="s">
        <v>50</v>
      </c>
      <c r="Q137" s="9" t="s">
        <v>630</v>
      </c>
      <c r="R137" s="9">
        <v>2.2000000000000002</v>
      </c>
      <c r="S137" s="9">
        <v>1</v>
      </c>
      <c r="T137" s="9">
        <v>0</v>
      </c>
      <c r="U137" s="9">
        <v>2.2000000000000002</v>
      </c>
      <c r="V137" s="11">
        <v>0.96800000000000019</v>
      </c>
    </row>
    <row r="138" spans="1:22" ht="15.5" x14ac:dyDescent="0.35">
      <c r="A138" s="4">
        <v>228</v>
      </c>
      <c r="B138" s="5" t="s">
        <v>625</v>
      </c>
      <c r="C138" s="6">
        <v>43686</v>
      </c>
      <c r="D138" s="6">
        <v>43693</v>
      </c>
      <c r="E138" s="5" t="s">
        <v>36</v>
      </c>
      <c r="F138" s="5" t="s">
        <v>626</v>
      </c>
      <c r="G138" s="5" t="s">
        <v>627</v>
      </c>
      <c r="H138" s="5" t="s">
        <v>26</v>
      </c>
      <c r="I138" s="5" t="s">
        <v>27</v>
      </c>
      <c r="J138" s="5" t="s">
        <v>628</v>
      </c>
      <c r="K138" s="5" t="s">
        <v>171</v>
      </c>
      <c r="L138" s="5">
        <v>48227</v>
      </c>
      <c r="M138" s="5" t="s">
        <v>79</v>
      </c>
      <c r="N138" s="5" t="s">
        <v>631</v>
      </c>
      <c r="O138" s="5" t="s">
        <v>32</v>
      </c>
      <c r="P138" s="5" t="s">
        <v>44</v>
      </c>
      <c r="Q138" s="5" t="s">
        <v>632</v>
      </c>
      <c r="R138" s="5">
        <v>21.98</v>
      </c>
      <c r="S138" s="5">
        <v>1</v>
      </c>
      <c r="T138" s="5">
        <v>0</v>
      </c>
      <c r="U138" s="5">
        <v>21.98</v>
      </c>
      <c r="V138" s="7">
        <v>0.21979999999999933</v>
      </c>
    </row>
    <row r="139" spans="1:22" ht="15.5" x14ac:dyDescent="0.35">
      <c r="A139" s="8">
        <v>231</v>
      </c>
      <c r="B139" s="9" t="s">
        <v>633</v>
      </c>
      <c r="C139" s="10">
        <v>43356</v>
      </c>
      <c r="D139" s="10">
        <v>43360</v>
      </c>
      <c r="E139" s="9" t="s">
        <v>36</v>
      </c>
      <c r="F139" s="9" t="s">
        <v>634</v>
      </c>
      <c r="G139" s="9" t="s">
        <v>635</v>
      </c>
      <c r="H139" s="9" t="s">
        <v>26</v>
      </c>
      <c r="I139" s="9" t="s">
        <v>27</v>
      </c>
      <c r="J139" s="9" t="s">
        <v>344</v>
      </c>
      <c r="K139" s="9" t="s">
        <v>62</v>
      </c>
      <c r="L139" s="9">
        <v>28205</v>
      </c>
      <c r="M139" s="9" t="s">
        <v>42</v>
      </c>
      <c r="N139" s="9" t="s">
        <v>636</v>
      </c>
      <c r="O139" s="9" t="s">
        <v>32</v>
      </c>
      <c r="P139" s="9" t="s">
        <v>53</v>
      </c>
      <c r="Q139" s="9" t="s">
        <v>637</v>
      </c>
      <c r="R139" s="9">
        <v>18.648000000000003</v>
      </c>
      <c r="S139" s="9">
        <v>7</v>
      </c>
      <c r="T139" s="9">
        <v>0.7</v>
      </c>
      <c r="U139" s="9">
        <v>39.160800000000009</v>
      </c>
      <c r="V139" s="11">
        <v>-12.431999999999999</v>
      </c>
    </row>
    <row r="140" spans="1:22" ht="15.5" x14ac:dyDescent="0.35">
      <c r="A140" s="4">
        <v>234</v>
      </c>
      <c r="B140" s="5" t="s">
        <v>638</v>
      </c>
      <c r="C140" s="6">
        <v>44293</v>
      </c>
      <c r="D140" s="6">
        <v>44298</v>
      </c>
      <c r="E140" s="5" t="s">
        <v>36</v>
      </c>
      <c r="F140" s="5" t="s">
        <v>272</v>
      </c>
      <c r="G140" s="5" t="s">
        <v>273</v>
      </c>
      <c r="H140" s="5" t="s">
        <v>76</v>
      </c>
      <c r="I140" s="5" t="s">
        <v>27</v>
      </c>
      <c r="J140" s="5" t="s">
        <v>639</v>
      </c>
      <c r="K140" s="5" t="s">
        <v>41</v>
      </c>
      <c r="L140" s="5">
        <v>33614</v>
      </c>
      <c r="M140" s="5" t="s">
        <v>42</v>
      </c>
      <c r="N140" s="5" t="s">
        <v>636</v>
      </c>
      <c r="O140" s="5" t="s">
        <v>32</v>
      </c>
      <c r="P140" s="5" t="s">
        <v>53</v>
      </c>
      <c r="Q140" s="5" t="s">
        <v>637</v>
      </c>
      <c r="R140" s="5">
        <v>5.3280000000000012</v>
      </c>
      <c r="S140" s="5">
        <v>2</v>
      </c>
      <c r="T140" s="5">
        <v>0.7</v>
      </c>
      <c r="U140" s="5">
        <v>3.1968000000000014</v>
      </c>
      <c r="V140" s="7">
        <v>-3.5519999999999996</v>
      </c>
    </row>
    <row r="141" spans="1:22" ht="15.5" x14ac:dyDescent="0.35">
      <c r="A141" s="8">
        <v>237</v>
      </c>
      <c r="B141" s="9" t="s">
        <v>640</v>
      </c>
      <c r="C141" s="10">
        <v>44512</v>
      </c>
      <c r="D141" s="10">
        <v>44516</v>
      </c>
      <c r="E141" s="9" t="s">
        <v>36</v>
      </c>
      <c r="F141" s="9" t="s">
        <v>641</v>
      </c>
      <c r="G141" s="9" t="s">
        <v>642</v>
      </c>
      <c r="H141" s="9" t="s">
        <v>26</v>
      </c>
      <c r="I141" s="9" t="s">
        <v>27</v>
      </c>
      <c r="J141" s="9" t="s">
        <v>643</v>
      </c>
      <c r="K141" s="9" t="s">
        <v>29</v>
      </c>
      <c r="L141" s="9">
        <v>95051</v>
      </c>
      <c r="M141" s="9" t="s">
        <v>30</v>
      </c>
      <c r="N141" s="9" t="s">
        <v>644</v>
      </c>
      <c r="O141" s="9" t="s">
        <v>32</v>
      </c>
      <c r="P141" s="9" t="s">
        <v>64</v>
      </c>
      <c r="Q141" s="9" t="s">
        <v>645</v>
      </c>
      <c r="R141" s="9">
        <v>10.56</v>
      </c>
      <c r="S141" s="9">
        <v>2</v>
      </c>
      <c r="T141" s="9">
        <v>0</v>
      </c>
      <c r="U141" s="9">
        <v>21.12</v>
      </c>
      <c r="V141" s="11">
        <v>4.7519999999999998</v>
      </c>
    </row>
    <row r="142" spans="1:22" ht="15.5" x14ac:dyDescent="0.35">
      <c r="A142" s="4">
        <v>238</v>
      </c>
      <c r="B142" s="5" t="s">
        <v>646</v>
      </c>
      <c r="C142" s="6">
        <v>43986</v>
      </c>
      <c r="D142" s="6">
        <v>43991</v>
      </c>
      <c r="E142" s="5" t="s">
        <v>23</v>
      </c>
      <c r="F142" s="5" t="s">
        <v>647</v>
      </c>
      <c r="G142" s="5" t="s">
        <v>648</v>
      </c>
      <c r="H142" s="5" t="s">
        <v>39</v>
      </c>
      <c r="I142" s="5" t="s">
        <v>27</v>
      </c>
      <c r="J142" s="5" t="s">
        <v>274</v>
      </c>
      <c r="K142" s="5" t="s">
        <v>275</v>
      </c>
      <c r="L142" s="5">
        <v>60610</v>
      </c>
      <c r="M142" s="5" t="s">
        <v>79</v>
      </c>
      <c r="N142" s="5" t="s">
        <v>649</v>
      </c>
      <c r="O142" s="5" t="s">
        <v>32</v>
      </c>
      <c r="P142" s="5" t="s">
        <v>64</v>
      </c>
      <c r="Q142" s="5" t="s">
        <v>650</v>
      </c>
      <c r="R142" s="5">
        <v>25.920000000000005</v>
      </c>
      <c r="S142" s="5">
        <v>5</v>
      </c>
      <c r="T142" s="5">
        <v>0.2</v>
      </c>
      <c r="U142" s="5">
        <v>103.68000000000002</v>
      </c>
      <c r="V142" s="7">
        <v>9.3960000000000008</v>
      </c>
    </row>
    <row r="143" spans="1:22" ht="15.5" x14ac:dyDescent="0.35">
      <c r="A143" s="8">
        <v>244</v>
      </c>
      <c r="B143" s="9" t="s">
        <v>646</v>
      </c>
      <c r="C143" s="10">
        <v>43986</v>
      </c>
      <c r="D143" s="10">
        <v>43991</v>
      </c>
      <c r="E143" s="9" t="s">
        <v>23</v>
      </c>
      <c r="F143" s="9" t="s">
        <v>647</v>
      </c>
      <c r="G143" s="9" t="s">
        <v>648</v>
      </c>
      <c r="H143" s="9" t="s">
        <v>39</v>
      </c>
      <c r="I143" s="9" t="s">
        <v>27</v>
      </c>
      <c r="J143" s="9" t="s">
        <v>274</v>
      </c>
      <c r="K143" s="9" t="s">
        <v>275</v>
      </c>
      <c r="L143" s="9">
        <v>60610</v>
      </c>
      <c r="M143" s="9" t="s">
        <v>79</v>
      </c>
      <c r="N143" s="9" t="s">
        <v>560</v>
      </c>
      <c r="O143" s="9" t="s">
        <v>32</v>
      </c>
      <c r="P143" s="9" t="s">
        <v>50</v>
      </c>
      <c r="Q143" s="9" t="s">
        <v>561</v>
      </c>
      <c r="R143" s="9">
        <v>7.4080000000000004</v>
      </c>
      <c r="S143" s="9">
        <v>2</v>
      </c>
      <c r="T143" s="9">
        <v>0.2</v>
      </c>
      <c r="U143" s="9">
        <v>11.8528</v>
      </c>
      <c r="V143" s="11">
        <v>1.2037999999999995</v>
      </c>
    </row>
    <row r="144" spans="1:22" ht="15.5" x14ac:dyDescent="0.35">
      <c r="A144" s="4">
        <v>246</v>
      </c>
      <c r="B144" s="5" t="s">
        <v>651</v>
      </c>
      <c r="C144" s="6">
        <v>43252</v>
      </c>
      <c r="D144" s="6">
        <v>43257</v>
      </c>
      <c r="E144" s="5" t="s">
        <v>23</v>
      </c>
      <c r="F144" s="5" t="s">
        <v>652</v>
      </c>
      <c r="G144" s="5" t="s">
        <v>653</v>
      </c>
      <c r="H144" s="5" t="s">
        <v>76</v>
      </c>
      <c r="I144" s="5" t="s">
        <v>27</v>
      </c>
      <c r="J144" s="5" t="s">
        <v>654</v>
      </c>
      <c r="K144" s="5" t="s">
        <v>164</v>
      </c>
      <c r="L144" s="5">
        <v>55044</v>
      </c>
      <c r="M144" s="5" t="s">
        <v>79</v>
      </c>
      <c r="N144" s="5" t="s">
        <v>655</v>
      </c>
      <c r="O144" s="5" t="s">
        <v>32</v>
      </c>
      <c r="P144" s="5" t="s">
        <v>44</v>
      </c>
      <c r="Q144" s="5" t="s">
        <v>656</v>
      </c>
      <c r="R144" s="5">
        <v>166.72</v>
      </c>
      <c r="S144" s="5">
        <v>2</v>
      </c>
      <c r="T144" s="5">
        <v>0</v>
      </c>
      <c r="U144" s="5">
        <v>333.44</v>
      </c>
      <c r="V144" s="7">
        <v>41.680000000000007</v>
      </c>
    </row>
    <row r="145" spans="1:22" ht="15.5" x14ac:dyDescent="0.35">
      <c r="A145" s="8">
        <v>247</v>
      </c>
      <c r="B145" s="9" t="s">
        <v>651</v>
      </c>
      <c r="C145" s="10">
        <v>43252</v>
      </c>
      <c r="D145" s="10">
        <v>43257</v>
      </c>
      <c r="E145" s="9" t="s">
        <v>23</v>
      </c>
      <c r="F145" s="9" t="s">
        <v>652</v>
      </c>
      <c r="G145" s="9" t="s">
        <v>653</v>
      </c>
      <c r="H145" s="9" t="s">
        <v>76</v>
      </c>
      <c r="I145" s="9" t="s">
        <v>27</v>
      </c>
      <c r="J145" s="9" t="s">
        <v>654</v>
      </c>
      <c r="K145" s="9" t="s">
        <v>164</v>
      </c>
      <c r="L145" s="9">
        <v>55044</v>
      </c>
      <c r="M145" s="9" t="s">
        <v>79</v>
      </c>
      <c r="N145" s="9" t="s">
        <v>657</v>
      </c>
      <c r="O145" s="9" t="s">
        <v>32</v>
      </c>
      <c r="P145" s="9" t="s">
        <v>64</v>
      </c>
      <c r="Q145" s="9" t="s">
        <v>658</v>
      </c>
      <c r="R145" s="9">
        <v>47.88</v>
      </c>
      <c r="S145" s="9">
        <v>6</v>
      </c>
      <c r="T145" s="9">
        <v>0</v>
      </c>
      <c r="U145" s="9">
        <v>287.28000000000003</v>
      </c>
      <c r="V145" s="11">
        <v>23.94</v>
      </c>
    </row>
    <row r="146" spans="1:22" ht="15.5" x14ac:dyDescent="0.35">
      <c r="A146" s="4">
        <v>248</v>
      </c>
      <c r="B146" s="5" t="s">
        <v>651</v>
      </c>
      <c r="C146" s="6">
        <v>43252</v>
      </c>
      <c r="D146" s="6">
        <v>43257</v>
      </c>
      <c r="E146" s="5" t="s">
        <v>23</v>
      </c>
      <c r="F146" s="5" t="s">
        <v>652</v>
      </c>
      <c r="G146" s="5" t="s">
        <v>653</v>
      </c>
      <c r="H146" s="5" t="s">
        <v>76</v>
      </c>
      <c r="I146" s="5" t="s">
        <v>27</v>
      </c>
      <c r="J146" s="5" t="s">
        <v>654</v>
      </c>
      <c r="K146" s="5" t="s">
        <v>164</v>
      </c>
      <c r="L146" s="5">
        <v>55044</v>
      </c>
      <c r="M146" s="5" t="s">
        <v>79</v>
      </c>
      <c r="N146" s="5" t="s">
        <v>659</v>
      </c>
      <c r="O146" s="5" t="s">
        <v>32</v>
      </c>
      <c r="P146" s="5" t="s">
        <v>56</v>
      </c>
      <c r="Q146" s="5" t="s">
        <v>660</v>
      </c>
      <c r="R146" s="5">
        <v>1503.25</v>
      </c>
      <c r="S146" s="5">
        <v>5</v>
      </c>
      <c r="T146" s="5">
        <v>0</v>
      </c>
      <c r="U146" s="5">
        <v>7516.25</v>
      </c>
      <c r="V146" s="7">
        <v>496.07249999999993</v>
      </c>
    </row>
    <row r="147" spans="1:22" ht="15.5" x14ac:dyDescent="0.35">
      <c r="A147" s="8">
        <v>249</v>
      </c>
      <c r="B147" s="9" t="s">
        <v>651</v>
      </c>
      <c r="C147" s="10">
        <v>43252</v>
      </c>
      <c r="D147" s="10">
        <v>43257</v>
      </c>
      <c r="E147" s="9" t="s">
        <v>23</v>
      </c>
      <c r="F147" s="9" t="s">
        <v>652</v>
      </c>
      <c r="G147" s="9" t="s">
        <v>653</v>
      </c>
      <c r="H147" s="9" t="s">
        <v>76</v>
      </c>
      <c r="I147" s="9" t="s">
        <v>27</v>
      </c>
      <c r="J147" s="9" t="s">
        <v>654</v>
      </c>
      <c r="K147" s="9" t="s">
        <v>164</v>
      </c>
      <c r="L147" s="9">
        <v>55044</v>
      </c>
      <c r="M147" s="9" t="s">
        <v>79</v>
      </c>
      <c r="N147" s="9" t="s">
        <v>548</v>
      </c>
      <c r="O147" s="9" t="s">
        <v>32</v>
      </c>
      <c r="P147" s="9" t="s">
        <v>64</v>
      </c>
      <c r="Q147" s="9" t="s">
        <v>549</v>
      </c>
      <c r="R147" s="9">
        <v>25.92</v>
      </c>
      <c r="S147" s="9">
        <v>4</v>
      </c>
      <c r="T147" s="9">
        <v>0</v>
      </c>
      <c r="U147" s="9">
        <v>103.68</v>
      </c>
      <c r="V147" s="11">
        <v>12.441600000000001</v>
      </c>
    </row>
    <row r="148" spans="1:22" ht="15.5" x14ac:dyDescent="0.35">
      <c r="A148" s="4">
        <v>251</v>
      </c>
      <c r="B148" s="5" t="s">
        <v>661</v>
      </c>
      <c r="C148" s="6">
        <v>44085</v>
      </c>
      <c r="D148" s="6">
        <v>44091</v>
      </c>
      <c r="E148" s="5" t="s">
        <v>36</v>
      </c>
      <c r="F148" s="5" t="s">
        <v>662</v>
      </c>
      <c r="G148" s="5" t="s">
        <v>663</v>
      </c>
      <c r="H148" s="5" t="s">
        <v>39</v>
      </c>
      <c r="I148" s="5" t="s">
        <v>27</v>
      </c>
      <c r="J148" s="5" t="s">
        <v>664</v>
      </c>
      <c r="K148" s="5" t="s">
        <v>29</v>
      </c>
      <c r="L148" s="5">
        <v>92037</v>
      </c>
      <c r="M148" s="5" t="s">
        <v>30</v>
      </c>
      <c r="N148" s="5" t="s">
        <v>665</v>
      </c>
      <c r="O148" s="5" t="s">
        <v>32</v>
      </c>
      <c r="P148" s="5" t="s">
        <v>64</v>
      </c>
      <c r="Q148" s="5" t="s">
        <v>666</v>
      </c>
      <c r="R148" s="5">
        <v>7.61</v>
      </c>
      <c r="S148" s="5">
        <v>1</v>
      </c>
      <c r="T148" s="5">
        <v>0</v>
      </c>
      <c r="U148" s="5">
        <v>7.61</v>
      </c>
      <c r="V148" s="7">
        <v>3.5766999999999998</v>
      </c>
    </row>
    <row r="149" spans="1:22" ht="15.5" x14ac:dyDescent="0.35">
      <c r="A149" s="8">
        <v>253</v>
      </c>
      <c r="B149" s="9" t="s">
        <v>667</v>
      </c>
      <c r="C149" s="10">
        <v>44175</v>
      </c>
      <c r="D149" s="10">
        <v>44178</v>
      </c>
      <c r="E149" s="9" t="s">
        <v>160</v>
      </c>
      <c r="F149" s="9" t="s">
        <v>668</v>
      </c>
      <c r="G149" s="9" t="s">
        <v>669</v>
      </c>
      <c r="H149" s="9" t="s">
        <v>39</v>
      </c>
      <c r="I149" s="9" t="s">
        <v>27</v>
      </c>
      <c r="J149" s="9" t="s">
        <v>186</v>
      </c>
      <c r="K149" s="9" t="s">
        <v>187</v>
      </c>
      <c r="L149" s="9">
        <v>10024</v>
      </c>
      <c r="M149" s="9" t="s">
        <v>125</v>
      </c>
      <c r="N149" s="9" t="s">
        <v>670</v>
      </c>
      <c r="O149" s="9" t="s">
        <v>32</v>
      </c>
      <c r="P149" s="9" t="s">
        <v>44</v>
      </c>
      <c r="Q149" s="9" t="s">
        <v>671</v>
      </c>
      <c r="R149" s="9">
        <v>80.58</v>
      </c>
      <c r="S149" s="9">
        <v>6</v>
      </c>
      <c r="T149" s="9">
        <v>0</v>
      </c>
      <c r="U149" s="9">
        <v>483.48</v>
      </c>
      <c r="V149" s="11">
        <v>22.562400000000004</v>
      </c>
    </row>
    <row r="150" spans="1:22" ht="15.5" x14ac:dyDescent="0.35">
      <c r="A150" s="4">
        <v>254</v>
      </c>
      <c r="B150" s="5" t="s">
        <v>667</v>
      </c>
      <c r="C150" s="6">
        <v>44175</v>
      </c>
      <c r="D150" s="6">
        <v>44178</v>
      </c>
      <c r="E150" s="5" t="s">
        <v>160</v>
      </c>
      <c r="F150" s="5" t="s">
        <v>668</v>
      </c>
      <c r="G150" s="5" t="s">
        <v>669</v>
      </c>
      <c r="H150" s="5" t="s">
        <v>39</v>
      </c>
      <c r="I150" s="5" t="s">
        <v>27</v>
      </c>
      <c r="J150" s="5" t="s">
        <v>186</v>
      </c>
      <c r="K150" s="5" t="s">
        <v>187</v>
      </c>
      <c r="L150" s="5">
        <v>10024</v>
      </c>
      <c r="M150" s="5" t="s">
        <v>125</v>
      </c>
      <c r="N150" s="5" t="s">
        <v>672</v>
      </c>
      <c r="O150" s="5" t="s">
        <v>32</v>
      </c>
      <c r="P150" s="5" t="s">
        <v>129</v>
      </c>
      <c r="Q150" s="5" t="s">
        <v>673</v>
      </c>
      <c r="R150" s="5">
        <v>361.92</v>
      </c>
      <c r="S150" s="5">
        <v>4</v>
      </c>
      <c r="T150" s="5">
        <v>0</v>
      </c>
      <c r="U150" s="5">
        <v>1447.68</v>
      </c>
      <c r="V150" s="7">
        <v>162.864</v>
      </c>
    </row>
    <row r="151" spans="1:22" ht="15.5" x14ac:dyDescent="0.35">
      <c r="A151" s="8">
        <v>256</v>
      </c>
      <c r="B151" s="9" t="s">
        <v>674</v>
      </c>
      <c r="C151" s="10">
        <v>43797</v>
      </c>
      <c r="D151" s="10">
        <v>43803</v>
      </c>
      <c r="E151" s="9" t="s">
        <v>36</v>
      </c>
      <c r="F151" s="9" t="s">
        <v>675</v>
      </c>
      <c r="G151" s="9" t="s">
        <v>676</v>
      </c>
      <c r="H151" s="9" t="s">
        <v>26</v>
      </c>
      <c r="I151" s="9" t="s">
        <v>27</v>
      </c>
      <c r="J151" s="9" t="s">
        <v>274</v>
      </c>
      <c r="K151" s="9" t="s">
        <v>275</v>
      </c>
      <c r="L151" s="9">
        <v>60623</v>
      </c>
      <c r="M151" s="9" t="s">
        <v>79</v>
      </c>
      <c r="N151" s="9" t="s">
        <v>677</v>
      </c>
      <c r="O151" s="9" t="s">
        <v>32</v>
      </c>
      <c r="P151" s="9" t="s">
        <v>44</v>
      </c>
      <c r="Q151" s="9" t="s">
        <v>678</v>
      </c>
      <c r="R151" s="9">
        <v>82.367999999999995</v>
      </c>
      <c r="S151" s="9">
        <v>2</v>
      </c>
      <c r="T151" s="9">
        <v>0.2</v>
      </c>
      <c r="U151" s="9">
        <v>131.78879999999998</v>
      </c>
      <c r="V151" s="11">
        <v>-19.562399999999997</v>
      </c>
    </row>
    <row r="152" spans="1:22" ht="15.5" x14ac:dyDescent="0.35">
      <c r="A152" s="4">
        <v>257</v>
      </c>
      <c r="B152" s="5" t="s">
        <v>674</v>
      </c>
      <c r="C152" s="6">
        <v>43797</v>
      </c>
      <c r="D152" s="6">
        <v>43803</v>
      </c>
      <c r="E152" s="5" t="s">
        <v>36</v>
      </c>
      <c r="F152" s="5" t="s">
        <v>675</v>
      </c>
      <c r="G152" s="5" t="s">
        <v>676</v>
      </c>
      <c r="H152" s="5" t="s">
        <v>26</v>
      </c>
      <c r="I152" s="5" t="s">
        <v>27</v>
      </c>
      <c r="J152" s="5" t="s">
        <v>274</v>
      </c>
      <c r="K152" s="5" t="s">
        <v>275</v>
      </c>
      <c r="L152" s="5">
        <v>60623</v>
      </c>
      <c r="M152" s="5" t="s">
        <v>79</v>
      </c>
      <c r="N152" s="5" t="s">
        <v>456</v>
      </c>
      <c r="O152" s="5" t="s">
        <v>32</v>
      </c>
      <c r="P152" s="5" t="s">
        <v>44</v>
      </c>
      <c r="Q152" s="5" t="s">
        <v>457</v>
      </c>
      <c r="R152" s="5">
        <v>53.92</v>
      </c>
      <c r="S152" s="5">
        <v>5</v>
      </c>
      <c r="T152" s="5">
        <v>0.2</v>
      </c>
      <c r="U152" s="5">
        <v>215.68</v>
      </c>
      <c r="V152" s="7">
        <v>4.0439999999999969</v>
      </c>
    </row>
    <row r="153" spans="1:22" ht="15.5" x14ac:dyDescent="0.35">
      <c r="A153" s="8">
        <v>260</v>
      </c>
      <c r="B153" s="9" t="s">
        <v>679</v>
      </c>
      <c r="C153" s="10">
        <v>44531</v>
      </c>
      <c r="D153" s="10">
        <v>44533</v>
      </c>
      <c r="E153" s="9" t="s">
        <v>23</v>
      </c>
      <c r="F153" s="9" t="s">
        <v>680</v>
      </c>
      <c r="G153" s="9" t="s">
        <v>681</v>
      </c>
      <c r="H153" s="9" t="s">
        <v>39</v>
      </c>
      <c r="I153" s="9" t="s">
        <v>27</v>
      </c>
      <c r="J153" s="9" t="s">
        <v>186</v>
      </c>
      <c r="K153" s="9" t="s">
        <v>187</v>
      </c>
      <c r="L153" s="9">
        <v>10009</v>
      </c>
      <c r="M153" s="9" t="s">
        <v>125</v>
      </c>
      <c r="N153" s="9" t="s">
        <v>682</v>
      </c>
      <c r="O153" s="9" t="s">
        <v>32</v>
      </c>
      <c r="P153" s="9" t="s">
        <v>44</v>
      </c>
      <c r="Q153" s="9" t="s">
        <v>683</v>
      </c>
      <c r="R153" s="9">
        <v>221.54999999999998</v>
      </c>
      <c r="S153" s="9">
        <v>3</v>
      </c>
      <c r="T153" s="9">
        <v>0</v>
      </c>
      <c r="U153" s="9">
        <v>664.65</v>
      </c>
      <c r="V153" s="11">
        <v>6.6465000000000174</v>
      </c>
    </row>
    <row r="154" spans="1:22" ht="15.5" x14ac:dyDescent="0.35">
      <c r="A154" s="4">
        <v>261</v>
      </c>
      <c r="B154" s="5" t="s">
        <v>679</v>
      </c>
      <c r="C154" s="6">
        <v>44531</v>
      </c>
      <c r="D154" s="6">
        <v>44533</v>
      </c>
      <c r="E154" s="5" t="s">
        <v>23</v>
      </c>
      <c r="F154" s="5" t="s">
        <v>680</v>
      </c>
      <c r="G154" s="5" t="s">
        <v>681</v>
      </c>
      <c r="H154" s="5" t="s">
        <v>39</v>
      </c>
      <c r="I154" s="5" t="s">
        <v>27</v>
      </c>
      <c r="J154" s="5" t="s">
        <v>186</v>
      </c>
      <c r="K154" s="5" t="s">
        <v>187</v>
      </c>
      <c r="L154" s="5">
        <v>10009</v>
      </c>
      <c r="M154" s="5" t="s">
        <v>125</v>
      </c>
      <c r="N154" s="5" t="s">
        <v>684</v>
      </c>
      <c r="O154" s="5" t="s">
        <v>32</v>
      </c>
      <c r="P154" s="5" t="s">
        <v>53</v>
      </c>
      <c r="Q154" s="5" t="s">
        <v>685</v>
      </c>
      <c r="R154" s="5">
        <v>17.52</v>
      </c>
      <c r="S154" s="5">
        <v>5</v>
      </c>
      <c r="T154" s="5">
        <v>0.2</v>
      </c>
      <c r="U154" s="5">
        <v>70.08</v>
      </c>
      <c r="V154" s="7">
        <v>6.1319999999999988</v>
      </c>
    </row>
    <row r="155" spans="1:22" ht="15.5" x14ac:dyDescent="0.35">
      <c r="A155" s="8">
        <v>262</v>
      </c>
      <c r="B155" s="9" t="s">
        <v>686</v>
      </c>
      <c r="C155" s="10">
        <v>44355</v>
      </c>
      <c r="D155" s="10">
        <v>44359</v>
      </c>
      <c r="E155" s="9" t="s">
        <v>36</v>
      </c>
      <c r="F155" s="9" t="s">
        <v>687</v>
      </c>
      <c r="G155" s="9" t="s">
        <v>688</v>
      </c>
      <c r="H155" s="9" t="s">
        <v>26</v>
      </c>
      <c r="I155" s="9" t="s">
        <v>27</v>
      </c>
      <c r="J155" s="9" t="s">
        <v>435</v>
      </c>
      <c r="K155" s="9" t="s">
        <v>78</v>
      </c>
      <c r="L155" s="9">
        <v>77506</v>
      </c>
      <c r="M155" s="9" t="s">
        <v>79</v>
      </c>
      <c r="N155" s="9" t="s">
        <v>689</v>
      </c>
      <c r="O155" s="9" t="s">
        <v>32</v>
      </c>
      <c r="P155" s="9" t="s">
        <v>56</v>
      </c>
      <c r="Q155" s="9" t="s">
        <v>690</v>
      </c>
      <c r="R155" s="9">
        <v>1.6239999999999994</v>
      </c>
      <c r="S155" s="9">
        <v>2</v>
      </c>
      <c r="T155" s="9">
        <v>0.8</v>
      </c>
      <c r="U155" s="9">
        <v>0.64959999999999951</v>
      </c>
      <c r="V155" s="11">
        <v>-4.4660000000000002</v>
      </c>
    </row>
    <row r="156" spans="1:22" ht="15.5" x14ac:dyDescent="0.35">
      <c r="A156" s="4">
        <v>267</v>
      </c>
      <c r="B156" s="5" t="s">
        <v>691</v>
      </c>
      <c r="C156" s="6">
        <v>44363</v>
      </c>
      <c r="D156" s="6">
        <v>44367</v>
      </c>
      <c r="E156" s="5" t="s">
        <v>36</v>
      </c>
      <c r="F156" s="5" t="s">
        <v>692</v>
      </c>
      <c r="G156" s="5" t="s">
        <v>693</v>
      </c>
      <c r="H156" s="5" t="s">
        <v>26</v>
      </c>
      <c r="I156" s="5" t="s">
        <v>27</v>
      </c>
      <c r="J156" s="5" t="s">
        <v>694</v>
      </c>
      <c r="K156" s="5" t="s">
        <v>62</v>
      </c>
      <c r="L156" s="5">
        <v>27514</v>
      </c>
      <c r="M156" s="5" t="s">
        <v>42</v>
      </c>
      <c r="N156" s="5" t="s">
        <v>695</v>
      </c>
      <c r="O156" s="5" t="s">
        <v>32</v>
      </c>
      <c r="P156" s="5" t="s">
        <v>50</v>
      </c>
      <c r="Q156" s="5" t="s">
        <v>696</v>
      </c>
      <c r="R156" s="5">
        <v>14.015999999999998</v>
      </c>
      <c r="S156" s="5">
        <v>3</v>
      </c>
      <c r="T156" s="5">
        <v>0.2</v>
      </c>
      <c r="U156" s="5">
        <v>33.638399999999997</v>
      </c>
      <c r="V156" s="7">
        <v>4.7303999999999995</v>
      </c>
    </row>
    <row r="157" spans="1:22" ht="15.5" x14ac:dyDescent="0.35">
      <c r="A157" s="8">
        <v>268</v>
      </c>
      <c r="B157" s="9" t="s">
        <v>697</v>
      </c>
      <c r="C157" s="10">
        <v>43852</v>
      </c>
      <c r="D157" s="10">
        <v>43858</v>
      </c>
      <c r="E157" s="9" t="s">
        <v>36</v>
      </c>
      <c r="F157" s="9" t="s">
        <v>279</v>
      </c>
      <c r="G157" s="9" t="s">
        <v>280</v>
      </c>
      <c r="H157" s="9" t="s">
        <v>39</v>
      </c>
      <c r="I157" s="9" t="s">
        <v>27</v>
      </c>
      <c r="J157" s="9" t="s">
        <v>698</v>
      </c>
      <c r="K157" s="9" t="s">
        <v>568</v>
      </c>
      <c r="L157" s="9">
        <v>7960</v>
      </c>
      <c r="M157" s="9" t="s">
        <v>125</v>
      </c>
      <c r="N157" s="9" t="s">
        <v>699</v>
      </c>
      <c r="O157" s="9" t="s">
        <v>32</v>
      </c>
      <c r="P157" s="9" t="s">
        <v>189</v>
      </c>
      <c r="Q157" s="9" t="s">
        <v>700</v>
      </c>
      <c r="R157" s="9">
        <v>7.5600000000000005</v>
      </c>
      <c r="S157" s="9">
        <v>6</v>
      </c>
      <c r="T157" s="9">
        <v>0</v>
      </c>
      <c r="U157" s="9">
        <v>45.36</v>
      </c>
      <c r="V157" s="11">
        <v>0.3024</v>
      </c>
    </row>
    <row r="158" spans="1:22" ht="15.5" x14ac:dyDescent="0.35">
      <c r="A158" s="4">
        <v>269</v>
      </c>
      <c r="B158" s="5" t="s">
        <v>701</v>
      </c>
      <c r="C158" s="6">
        <v>44539</v>
      </c>
      <c r="D158" s="6">
        <v>44543</v>
      </c>
      <c r="E158" s="5" t="s">
        <v>36</v>
      </c>
      <c r="F158" s="5" t="s">
        <v>702</v>
      </c>
      <c r="G158" s="5" t="s">
        <v>703</v>
      </c>
      <c r="H158" s="5" t="s">
        <v>26</v>
      </c>
      <c r="I158" s="5" t="s">
        <v>27</v>
      </c>
      <c r="J158" s="5" t="s">
        <v>704</v>
      </c>
      <c r="K158" s="5" t="s">
        <v>360</v>
      </c>
      <c r="L158" s="5">
        <v>45231</v>
      </c>
      <c r="M158" s="5" t="s">
        <v>125</v>
      </c>
      <c r="N158" s="5" t="s">
        <v>705</v>
      </c>
      <c r="O158" s="5" t="s">
        <v>32</v>
      </c>
      <c r="P158" s="5" t="s">
        <v>44</v>
      </c>
      <c r="Q158" s="5" t="s">
        <v>706</v>
      </c>
      <c r="R158" s="5">
        <v>37.207999999999998</v>
      </c>
      <c r="S158" s="5">
        <v>1</v>
      </c>
      <c r="T158" s="5">
        <v>0.2</v>
      </c>
      <c r="U158" s="5">
        <v>29.766399999999997</v>
      </c>
      <c r="V158" s="7">
        <v>-7.4416000000000011</v>
      </c>
    </row>
    <row r="159" spans="1:22" ht="15.5" x14ac:dyDescent="0.35">
      <c r="A159" s="8">
        <v>270</v>
      </c>
      <c r="B159" s="9" t="s">
        <v>701</v>
      </c>
      <c r="C159" s="10">
        <v>44539</v>
      </c>
      <c r="D159" s="10">
        <v>44543</v>
      </c>
      <c r="E159" s="9" t="s">
        <v>36</v>
      </c>
      <c r="F159" s="9" t="s">
        <v>702</v>
      </c>
      <c r="G159" s="9" t="s">
        <v>703</v>
      </c>
      <c r="H159" s="9" t="s">
        <v>26</v>
      </c>
      <c r="I159" s="9" t="s">
        <v>27</v>
      </c>
      <c r="J159" s="9" t="s">
        <v>704</v>
      </c>
      <c r="K159" s="9" t="s">
        <v>360</v>
      </c>
      <c r="L159" s="9">
        <v>45231</v>
      </c>
      <c r="M159" s="9" t="s">
        <v>125</v>
      </c>
      <c r="N159" s="9" t="s">
        <v>707</v>
      </c>
      <c r="O159" s="9" t="s">
        <v>32</v>
      </c>
      <c r="P159" s="9" t="s">
        <v>129</v>
      </c>
      <c r="Q159" s="9" t="s">
        <v>708</v>
      </c>
      <c r="R159" s="9">
        <v>57.576000000000001</v>
      </c>
      <c r="S159" s="9">
        <v>3</v>
      </c>
      <c r="T159" s="9">
        <v>0.2</v>
      </c>
      <c r="U159" s="9">
        <v>138.1824</v>
      </c>
      <c r="V159" s="11">
        <v>21.591000000000001</v>
      </c>
    </row>
    <row r="160" spans="1:22" ht="15.5" x14ac:dyDescent="0.35">
      <c r="A160" s="4">
        <v>271</v>
      </c>
      <c r="B160" s="5" t="s">
        <v>709</v>
      </c>
      <c r="C160" s="6">
        <v>44558</v>
      </c>
      <c r="D160" s="6">
        <v>43102</v>
      </c>
      <c r="E160" s="5" t="s">
        <v>23</v>
      </c>
      <c r="F160" s="5" t="s">
        <v>710</v>
      </c>
      <c r="G160" s="5" t="s">
        <v>711</v>
      </c>
      <c r="H160" s="5" t="s">
        <v>26</v>
      </c>
      <c r="I160" s="5" t="s">
        <v>27</v>
      </c>
      <c r="J160" s="5" t="s">
        <v>101</v>
      </c>
      <c r="K160" s="5" t="s">
        <v>29</v>
      </c>
      <c r="L160" s="5">
        <v>94110</v>
      </c>
      <c r="M160" s="5" t="s">
        <v>30</v>
      </c>
      <c r="N160" s="5" t="s">
        <v>712</v>
      </c>
      <c r="O160" s="5" t="s">
        <v>32</v>
      </c>
      <c r="P160" s="5" t="s">
        <v>44</v>
      </c>
      <c r="Q160" s="5" t="s">
        <v>713</v>
      </c>
      <c r="R160" s="5">
        <v>725.84</v>
      </c>
      <c r="S160" s="5">
        <v>4</v>
      </c>
      <c r="T160" s="5">
        <v>0</v>
      </c>
      <c r="U160" s="5">
        <v>2903.36</v>
      </c>
      <c r="V160" s="7">
        <v>210.4935999999999</v>
      </c>
    </row>
    <row r="161" spans="1:22" ht="15.5" x14ac:dyDescent="0.35">
      <c r="A161" s="8">
        <v>274</v>
      </c>
      <c r="B161" s="9" t="s">
        <v>714</v>
      </c>
      <c r="C161" s="10">
        <v>43676</v>
      </c>
      <c r="D161" s="10">
        <v>43677</v>
      </c>
      <c r="E161" s="9" t="s">
        <v>160</v>
      </c>
      <c r="F161" s="9" t="s">
        <v>433</v>
      </c>
      <c r="G161" s="9" t="s">
        <v>434</v>
      </c>
      <c r="H161" s="9" t="s">
        <v>39</v>
      </c>
      <c r="I161" s="9" t="s">
        <v>27</v>
      </c>
      <c r="J161" s="9" t="s">
        <v>101</v>
      </c>
      <c r="K161" s="9" t="s">
        <v>29</v>
      </c>
      <c r="L161" s="9">
        <v>94109</v>
      </c>
      <c r="M161" s="9" t="s">
        <v>30</v>
      </c>
      <c r="N161" s="9" t="s">
        <v>715</v>
      </c>
      <c r="O161" s="9" t="s">
        <v>32</v>
      </c>
      <c r="P161" s="9" t="s">
        <v>53</v>
      </c>
      <c r="Q161" s="9" t="s">
        <v>716</v>
      </c>
      <c r="R161" s="9">
        <v>10.92</v>
      </c>
      <c r="S161" s="9">
        <v>3</v>
      </c>
      <c r="T161" s="9">
        <v>0.2</v>
      </c>
      <c r="U161" s="9">
        <v>26.207999999999998</v>
      </c>
      <c r="V161" s="11">
        <v>4.0949999999999989</v>
      </c>
    </row>
    <row r="162" spans="1:22" ht="15.5" x14ac:dyDescent="0.35">
      <c r="A162" s="4">
        <v>275</v>
      </c>
      <c r="B162" s="5" t="s">
        <v>717</v>
      </c>
      <c r="C162" s="6">
        <v>44455</v>
      </c>
      <c r="D162" s="6">
        <v>44456</v>
      </c>
      <c r="E162" s="5" t="s">
        <v>160</v>
      </c>
      <c r="F162" s="5" t="s">
        <v>718</v>
      </c>
      <c r="G162" s="5" t="s">
        <v>719</v>
      </c>
      <c r="H162" s="5" t="s">
        <v>26</v>
      </c>
      <c r="I162" s="5" t="s">
        <v>27</v>
      </c>
      <c r="J162" s="5" t="s">
        <v>720</v>
      </c>
      <c r="K162" s="5" t="s">
        <v>29</v>
      </c>
      <c r="L162" s="5">
        <v>90301</v>
      </c>
      <c r="M162" s="5" t="s">
        <v>30</v>
      </c>
      <c r="N162" s="5" t="s">
        <v>721</v>
      </c>
      <c r="O162" s="5" t="s">
        <v>32</v>
      </c>
      <c r="P162" s="5" t="s">
        <v>64</v>
      </c>
      <c r="Q162" s="5" t="s">
        <v>722</v>
      </c>
      <c r="R162" s="5">
        <v>8.82</v>
      </c>
      <c r="S162" s="5">
        <v>2</v>
      </c>
      <c r="T162" s="5">
        <v>0</v>
      </c>
      <c r="U162" s="5">
        <v>17.64</v>
      </c>
      <c r="V162" s="7">
        <v>4.0571999999999999</v>
      </c>
    </row>
    <row r="163" spans="1:22" ht="15.5" x14ac:dyDescent="0.35">
      <c r="A163" s="8">
        <v>276</v>
      </c>
      <c r="B163" s="9" t="s">
        <v>717</v>
      </c>
      <c r="C163" s="10">
        <v>44455</v>
      </c>
      <c r="D163" s="10">
        <v>44456</v>
      </c>
      <c r="E163" s="9" t="s">
        <v>160</v>
      </c>
      <c r="F163" s="9" t="s">
        <v>718</v>
      </c>
      <c r="G163" s="9" t="s">
        <v>719</v>
      </c>
      <c r="H163" s="9" t="s">
        <v>26</v>
      </c>
      <c r="I163" s="9" t="s">
        <v>27</v>
      </c>
      <c r="J163" s="9" t="s">
        <v>720</v>
      </c>
      <c r="K163" s="9" t="s">
        <v>29</v>
      </c>
      <c r="L163" s="9">
        <v>90301</v>
      </c>
      <c r="M163" s="9" t="s">
        <v>30</v>
      </c>
      <c r="N163" s="9" t="s">
        <v>723</v>
      </c>
      <c r="O163" s="9" t="s">
        <v>32</v>
      </c>
      <c r="P163" s="9" t="s">
        <v>50</v>
      </c>
      <c r="Q163" s="9" t="s">
        <v>724</v>
      </c>
      <c r="R163" s="9">
        <v>5.98</v>
      </c>
      <c r="S163" s="9">
        <v>1</v>
      </c>
      <c r="T163" s="9">
        <v>0</v>
      </c>
      <c r="U163" s="9">
        <v>5.98</v>
      </c>
      <c r="V163" s="11">
        <v>1.5548000000000002</v>
      </c>
    </row>
    <row r="164" spans="1:22" ht="15.5" x14ac:dyDescent="0.35">
      <c r="A164" s="4">
        <v>277</v>
      </c>
      <c r="B164" s="5" t="s">
        <v>725</v>
      </c>
      <c r="C164" s="6">
        <v>44482</v>
      </c>
      <c r="D164" s="6">
        <v>44486</v>
      </c>
      <c r="E164" s="5" t="s">
        <v>36</v>
      </c>
      <c r="F164" s="5" t="s">
        <v>726</v>
      </c>
      <c r="G164" s="5" t="s">
        <v>727</v>
      </c>
      <c r="H164" s="5" t="s">
        <v>26</v>
      </c>
      <c r="I164" s="5" t="s">
        <v>27</v>
      </c>
      <c r="J164" s="5" t="s">
        <v>123</v>
      </c>
      <c r="K164" s="5" t="s">
        <v>124</v>
      </c>
      <c r="L164" s="5">
        <v>19140</v>
      </c>
      <c r="M164" s="5" t="s">
        <v>125</v>
      </c>
      <c r="N164" s="5" t="s">
        <v>728</v>
      </c>
      <c r="O164" s="5" t="s">
        <v>32</v>
      </c>
      <c r="P164" s="5" t="s">
        <v>64</v>
      </c>
      <c r="Q164" s="5" t="s">
        <v>729</v>
      </c>
      <c r="R164" s="5">
        <v>11.648000000000001</v>
      </c>
      <c r="S164" s="5">
        <v>2</v>
      </c>
      <c r="T164" s="5">
        <v>0.2</v>
      </c>
      <c r="U164" s="5">
        <v>18.636800000000001</v>
      </c>
      <c r="V164" s="7">
        <v>4.0768000000000004</v>
      </c>
    </row>
    <row r="165" spans="1:22" ht="15.5" x14ac:dyDescent="0.35">
      <c r="A165" s="8">
        <v>278</v>
      </c>
      <c r="B165" s="9" t="s">
        <v>725</v>
      </c>
      <c r="C165" s="10">
        <v>44482</v>
      </c>
      <c r="D165" s="10">
        <v>44486</v>
      </c>
      <c r="E165" s="9" t="s">
        <v>36</v>
      </c>
      <c r="F165" s="9" t="s">
        <v>726</v>
      </c>
      <c r="G165" s="9" t="s">
        <v>727</v>
      </c>
      <c r="H165" s="9" t="s">
        <v>26</v>
      </c>
      <c r="I165" s="9" t="s">
        <v>27</v>
      </c>
      <c r="J165" s="9" t="s">
        <v>123</v>
      </c>
      <c r="K165" s="9" t="s">
        <v>124</v>
      </c>
      <c r="L165" s="9">
        <v>19140</v>
      </c>
      <c r="M165" s="9" t="s">
        <v>125</v>
      </c>
      <c r="N165" s="9" t="s">
        <v>730</v>
      </c>
      <c r="O165" s="9" t="s">
        <v>32</v>
      </c>
      <c r="P165" s="9" t="s">
        <v>64</v>
      </c>
      <c r="Q165" s="9" t="s">
        <v>731</v>
      </c>
      <c r="R165" s="9">
        <v>18.175999999999998</v>
      </c>
      <c r="S165" s="9">
        <v>4</v>
      </c>
      <c r="T165" s="9">
        <v>0.2</v>
      </c>
      <c r="U165" s="9">
        <v>58.163199999999996</v>
      </c>
      <c r="V165" s="11">
        <v>5.9071999999999987</v>
      </c>
    </row>
    <row r="166" spans="1:22" ht="15.5" x14ac:dyDescent="0.35">
      <c r="A166" s="4">
        <v>279</v>
      </c>
      <c r="B166" s="5" t="s">
        <v>725</v>
      </c>
      <c r="C166" s="6">
        <v>44482</v>
      </c>
      <c r="D166" s="6">
        <v>44486</v>
      </c>
      <c r="E166" s="5" t="s">
        <v>36</v>
      </c>
      <c r="F166" s="5" t="s">
        <v>726</v>
      </c>
      <c r="G166" s="5" t="s">
        <v>727</v>
      </c>
      <c r="H166" s="5" t="s">
        <v>26</v>
      </c>
      <c r="I166" s="5" t="s">
        <v>27</v>
      </c>
      <c r="J166" s="5" t="s">
        <v>123</v>
      </c>
      <c r="K166" s="5" t="s">
        <v>124</v>
      </c>
      <c r="L166" s="5">
        <v>19140</v>
      </c>
      <c r="M166" s="5" t="s">
        <v>125</v>
      </c>
      <c r="N166" s="5" t="s">
        <v>732</v>
      </c>
      <c r="O166" s="5" t="s">
        <v>32</v>
      </c>
      <c r="P166" s="5" t="s">
        <v>44</v>
      </c>
      <c r="Q166" s="5" t="s">
        <v>733</v>
      </c>
      <c r="R166" s="5">
        <v>59.712000000000003</v>
      </c>
      <c r="S166" s="5">
        <v>6</v>
      </c>
      <c r="T166" s="5">
        <v>0.2</v>
      </c>
      <c r="U166" s="5">
        <v>286.61760000000004</v>
      </c>
      <c r="V166" s="7">
        <v>5.9711999999999996</v>
      </c>
    </row>
    <row r="167" spans="1:22" ht="15.5" x14ac:dyDescent="0.35">
      <c r="A167" s="8">
        <v>280</v>
      </c>
      <c r="B167" s="9" t="s">
        <v>725</v>
      </c>
      <c r="C167" s="10">
        <v>44482</v>
      </c>
      <c r="D167" s="10">
        <v>44486</v>
      </c>
      <c r="E167" s="9" t="s">
        <v>36</v>
      </c>
      <c r="F167" s="9" t="s">
        <v>726</v>
      </c>
      <c r="G167" s="9" t="s">
        <v>727</v>
      </c>
      <c r="H167" s="9" t="s">
        <v>26</v>
      </c>
      <c r="I167" s="9" t="s">
        <v>27</v>
      </c>
      <c r="J167" s="9" t="s">
        <v>123</v>
      </c>
      <c r="K167" s="9" t="s">
        <v>124</v>
      </c>
      <c r="L167" s="9">
        <v>19140</v>
      </c>
      <c r="M167" s="9" t="s">
        <v>125</v>
      </c>
      <c r="N167" s="9" t="s">
        <v>734</v>
      </c>
      <c r="O167" s="9" t="s">
        <v>32</v>
      </c>
      <c r="P167" s="9" t="s">
        <v>33</v>
      </c>
      <c r="Q167" s="9" t="s">
        <v>735</v>
      </c>
      <c r="R167" s="9">
        <v>24.839999999999996</v>
      </c>
      <c r="S167" s="9">
        <v>3</v>
      </c>
      <c r="T167" s="9">
        <v>0.2</v>
      </c>
      <c r="U167" s="9">
        <v>59.615999999999985</v>
      </c>
      <c r="V167" s="11">
        <v>8.6940000000000008</v>
      </c>
    </row>
    <row r="168" spans="1:22" ht="15.5" x14ac:dyDescent="0.35">
      <c r="A168" s="4">
        <v>281</v>
      </c>
      <c r="B168" s="5" t="s">
        <v>736</v>
      </c>
      <c r="C168" s="6">
        <v>43734</v>
      </c>
      <c r="D168" s="6">
        <v>43736</v>
      </c>
      <c r="E168" s="5" t="s">
        <v>23</v>
      </c>
      <c r="F168" s="5" t="s">
        <v>376</v>
      </c>
      <c r="G168" s="5" t="s">
        <v>377</v>
      </c>
      <c r="H168" s="5" t="s">
        <v>39</v>
      </c>
      <c r="I168" s="5" t="s">
        <v>27</v>
      </c>
      <c r="J168" s="5" t="s">
        <v>140</v>
      </c>
      <c r="K168" s="5" t="s">
        <v>78</v>
      </c>
      <c r="L168" s="5">
        <v>77070</v>
      </c>
      <c r="M168" s="5" t="s">
        <v>79</v>
      </c>
      <c r="N168" s="5" t="s">
        <v>737</v>
      </c>
      <c r="O168" s="5" t="s">
        <v>32</v>
      </c>
      <c r="P168" s="5" t="s">
        <v>53</v>
      </c>
      <c r="Q168" s="5" t="s">
        <v>738</v>
      </c>
      <c r="R168" s="5">
        <v>2.0799999999999996</v>
      </c>
      <c r="S168" s="5">
        <v>5</v>
      </c>
      <c r="T168" s="5">
        <v>0.8</v>
      </c>
      <c r="U168" s="5">
        <v>2.08</v>
      </c>
      <c r="V168" s="7">
        <v>-3.4320000000000004</v>
      </c>
    </row>
    <row r="169" spans="1:22" ht="15.5" x14ac:dyDescent="0.35">
      <c r="A169" s="8">
        <v>284</v>
      </c>
      <c r="B169" s="9" t="s">
        <v>739</v>
      </c>
      <c r="C169" s="10">
        <v>43734</v>
      </c>
      <c r="D169" s="10">
        <v>43740</v>
      </c>
      <c r="E169" s="9" t="s">
        <v>36</v>
      </c>
      <c r="F169" s="9" t="s">
        <v>121</v>
      </c>
      <c r="G169" s="9" t="s">
        <v>122</v>
      </c>
      <c r="H169" s="9" t="s">
        <v>39</v>
      </c>
      <c r="I169" s="9" t="s">
        <v>27</v>
      </c>
      <c r="J169" s="9" t="s">
        <v>307</v>
      </c>
      <c r="K169" s="9" t="s">
        <v>308</v>
      </c>
      <c r="L169" s="9">
        <v>97206</v>
      </c>
      <c r="M169" s="9" t="s">
        <v>30</v>
      </c>
      <c r="N169" s="9" t="s">
        <v>740</v>
      </c>
      <c r="O169" s="9" t="s">
        <v>32</v>
      </c>
      <c r="P169" s="9" t="s">
        <v>64</v>
      </c>
      <c r="Q169" s="9" t="s">
        <v>142</v>
      </c>
      <c r="R169" s="9">
        <v>141.76</v>
      </c>
      <c r="S169" s="9">
        <v>5</v>
      </c>
      <c r="T169" s="9">
        <v>0.2</v>
      </c>
      <c r="U169" s="9">
        <v>567.04</v>
      </c>
      <c r="V169" s="11">
        <v>47.843999999999994</v>
      </c>
    </row>
    <row r="170" spans="1:22" ht="15.5" x14ac:dyDescent="0.35">
      <c r="A170" s="4">
        <v>286</v>
      </c>
      <c r="B170" s="5" t="s">
        <v>739</v>
      </c>
      <c r="C170" s="6">
        <v>43734</v>
      </c>
      <c r="D170" s="6">
        <v>43740</v>
      </c>
      <c r="E170" s="5" t="s">
        <v>36</v>
      </c>
      <c r="F170" s="5" t="s">
        <v>121</v>
      </c>
      <c r="G170" s="5" t="s">
        <v>122</v>
      </c>
      <c r="H170" s="5" t="s">
        <v>39</v>
      </c>
      <c r="I170" s="5" t="s">
        <v>27</v>
      </c>
      <c r="J170" s="5" t="s">
        <v>307</v>
      </c>
      <c r="K170" s="5" t="s">
        <v>308</v>
      </c>
      <c r="L170" s="5">
        <v>97206</v>
      </c>
      <c r="M170" s="5" t="s">
        <v>30</v>
      </c>
      <c r="N170" s="5" t="s">
        <v>741</v>
      </c>
      <c r="O170" s="5" t="s">
        <v>32</v>
      </c>
      <c r="P170" s="5" t="s">
        <v>64</v>
      </c>
      <c r="Q170" s="5" t="s">
        <v>742</v>
      </c>
      <c r="R170" s="5">
        <v>31.104000000000006</v>
      </c>
      <c r="S170" s="5">
        <v>6</v>
      </c>
      <c r="T170" s="5">
        <v>0.2</v>
      </c>
      <c r="U170" s="5">
        <v>149.29920000000001</v>
      </c>
      <c r="V170" s="7">
        <v>10.8864</v>
      </c>
    </row>
    <row r="171" spans="1:22" ht="15.5" x14ac:dyDescent="0.35">
      <c r="A171" s="8">
        <v>287</v>
      </c>
      <c r="B171" s="9" t="s">
        <v>743</v>
      </c>
      <c r="C171" s="10">
        <v>44183</v>
      </c>
      <c r="D171" s="10">
        <v>44185</v>
      </c>
      <c r="E171" s="9" t="s">
        <v>23</v>
      </c>
      <c r="F171" s="9" t="s">
        <v>744</v>
      </c>
      <c r="G171" s="9" t="s">
        <v>745</v>
      </c>
      <c r="H171" s="9" t="s">
        <v>26</v>
      </c>
      <c r="I171" s="9" t="s">
        <v>27</v>
      </c>
      <c r="J171" s="9" t="s">
        <v>746</v>
      </c>
      <c r="K171" s="9" t="s">
        <v>41</v>
      </c>
      <c r="L171" s="9">
        <v>33319</v>
      </c>
      <c r="M171" s="9" t="s">
        <v>42</v>
      </c>
      <c r="N171" s="9" t="s">
        <v>747</v>
      </c>
      <c r="O171" s="9" t="s">
        <v>32</v>
      </c>
      <c r="P171" s="9" t="s">
        <v>53</v>
      </c>
      <c r="Q171" s="9" t="s">
        <v>748</v>
      </c>
      <c r="R171" s="9">
        <v>254.05800000000002</v>
      </c>
      <c r="S171" s="9">
        <v>7</v>
      </c>
      <c r="T171" s="9">
        <v>0.7</v>
      </c>
      <c r="U171" s="9">
        <v>533.52180000000021</v>
      </c>
      <c r="V171" s="11">
        <v>-169.3719999999999</v>
      </c>
    </row>
    <row r="172" spans="1:22" ht="15.5" x14ac:dyDescent="0.35">
      <c r="A172" s="4">
        <v>288</v>
      </c>
      <c r="B172" s="5" t="s">
        <v>743</v>
      </c>
      <c r="C172" s="6">
        <v>44183</v>
      </c>
      <c r="D172" s="6">
        <v>44185</v>
      </c>
      <c r="E172" s="5" t="s">
        <v>23</v>
      </c>
      <c r="F172" s="5" t="s">
        <v>744</v>
      </c>
      <c r="G172" s="5" t="s">
        <v>745</v>
      </c>
      <c r="H172" s="5" t="s">
        <v>26</v>
      </c>
      <c r="I172" s="5" t="s">
        <v>27</v>
      </c>
      <c r="J172" s="5" t="s">
        <v>746</v>
      </c>
      <c r="K172" s="5" t="s">
        <v>41</v>
      </c>
      <c r="L172" s="5">
        <v>33319</v>
      </c>
      <c r="M172" s="5" t="s">
        <v>42</v>
      </c>
      <c r="N172" s="5" t="s">
        <v>516</v>
      </c>
      <c r="O172" s="5" t="s">
        <v>32</v>
      </c>
      <c r="P172" s="5" t="s">
        <v>56</v>
      </c>
      <c r="Q172" s="5" t="s">
        <v>517</v>
      </c>
      <c r="R172" s="5">
        <v>194.52800000000002</v>
      </c>
      <c r="S172" s="5">
        <v>2</v>
      </c>
      <c r="T172" s="5">
        <v>0.2</v>
      </c>
      <c r="U172" s="5">
        <v>311.24480000000005</v>
      </c>
      <c r="V172" s="7">
        <v>24.315999999999974</v>
      </c>
    </row>
    <row r="173" spans="1:22" ht="15.5" x14ac:dyDescent="0.35">
      <c r="A173" s="8">
        <v>289</v>
      </c>
      <c r="B173" s="9" t="s">
        <v>743</v>
      </c>
      <c r="C173" s="10">
        <v>44183</v>
      </c>
      <c r="D173" s="10">
        <v>44185</v>
      </c>
      <c r="E173" s="9" t="s">
        <v>23</v>
      </c>
      <c r="F173" s="9" t="s">
        <v>744</v>
      </c>
      <c r="G173" s="9" t="s">
        <v>745</v>
      </c>
      <c r="H173" s="9" t="s">
        <v>26</v>
      </c>
      <c r="I173" s="9" t="s">
        <v>27</v>
      </c>
      <c r="J173" s="9" t="s">
        <v>746</v>
      </c>
      <c r="K173" s="9" t="s">
        <v>41</v>
      </c>
      <c r="L173" s="9">
        <v>33319</v>
      </c>
      <c r="M173" s="9" t="s">
        <v>42</v>
      </c>
      <c r="N173" s="9" t="s">
        <v>749</v>
      </c>
      <c r="O173" s="9" t="s">
        <v>32</v>
      </c>
      <c r="P173" s="9" t="s">
        <v>414</v>
      </c>
      <c r="Q173" s="9" t="s">
        <v>750</v>
      </c>
      <c r="R173" s="9">
        <v>961.48000000000013</v>
      </c>
      <c r="S173" s="9">
        <v>5</v>
      </c>
      <c r="T173" s="9">
        <v>0.2</v>
      </c>
      <c r="U173" s="9">
        <v>3845.9200000000005</v>
      </c>
      <c r="V173" s="11">
        <v>-204.31449999999995</v>
      </c>
    </row>
    <row r="174" spans="1:22" ht="15.5" x14ac:dyDescent="0.35">
      <c r="A174" s="4">
        <v>290</v>
      </c>
      <c r="B174" s="5" t="s">
        <v>751</v>
      </c>
      <c r="C174" s="6">
        <v>44155</v>
      </c>
      <c r="D174" s="6">
        <v>44159</v>
      </c>
      <c r="E174" s="5" t="s">
        <v>23</v>
      </c>
      <c r="F174" s="5" t="s">
        <v>752</v>
      </c>
      <c r="G174" s="5" t="s">
        <v>753</v>
      </c>
      <c r="H174" s="5" t="s">
        <v>76</v>
      </c>
      <c r="I174" s="5" t="s">
        <v>27</v>
      </c>
      <c r="J174" s="5" t="s">
        <v>359</v>
      </c>
      <c r="K174" s="5" t="s">
        <v>360</v>
      </c>
      <c r="L174" s="5">
        <v>43229</v>
      </c>
      <c r="M174" s="5" t="s">
        <v>125</v>
      </c>
      <c r="N174" s="5" t="s">
        <v>754</v>
      </c>
      <c r="O174" s="5" t="s">
        <v>32</v>
      </c>
      <c r="P174" s="5" t="s">
        <v>189</v>
      </c>
      <c r="Q174" s="5" t="s">
        <v>755</v>
      </c>
      <c r="R174" s="5">
        <v>19.096</v>
      </c>
      <c r="S174" s="5">
        <v>7</v>
      </c>
      <c r="T174" s="5">
        <v>0.2</v>
      </c>
      <c r="U174" s="5">
        <v>106.9376</v>
      </c>
      <c r="V174" s="7">
        <v>6.6835999999999993</v>
      </c>
    </row>
    <row r="175" spans="1:22" ht="15.5" x14ac:dyDescent="0.35">
      <c r="A175" s="8">
        <v>291</v>
      </c>
      <c r="B175" s="9" t="s">
        <v>751</v>
      </c>
      <c r="C175" s="10">
        <v>44155</v>
      </c>
      <c r="D175" s="10">
        <v>44159</v>
      </c>
      <c r="E175" s="9" t="s">
        <v>23</v>
      </c>
      <c r="F175" s="9" t="s">
        <v>752</v>
      </c>
      <c r="G175" s="9" t="s">
        <v>753</v>
      </c>
      <c r="H175" s="9" t="s">
        <v>76</v>
      </c>
      <c r="I175" s="9" t="s">
        <v>27</v>
      </c>
      <c r="J175" s="9" t="s">
        <v>359</v>
      </c>
      <c r="K175" s="9" t="s">
        <v>360</v>
      </c>
      <c r="L175" s="9">
        <v>43229</v>
      </c>
      <c r="M175" s="9" t="s">
        <v>125</v>
      </c>
      <c r="N175" s="9" t="s">
        <v>756</v>
      </c>
      <c r="O175" s="9" t="s">
        <v>32</v>
      </c>
      <c r="P175" s="9" t="s">
        <v>33</v>
      </c>
      <c r="Q175" s="9" t="s">
        <v>757</v>
      </c>
      <c r="R175" s="9">
        <v>18.496000000000002</v>
      </c>
      <c r="S175" s="9">
        <v>8</v>
      </c>
      <c r="T175" s="9">
        <v>0.2</v>
      </c>
      <c r="U175" s="9">
        <v>118.37440000000001</v>
      </c>
      <c r="V175" s="11">
        <v>6.2423999999999999</v>
      </c>
    </row>
    <row r="176" spans="1:22" ht="15.5" x14ac:dyDescent="0.35">
      <c r="A176" s="4">
        <v>297</v>
      </c>
      <c r="B176" s="5" t="s">
        <v>758</v>
      </c>
      <c r="C176" s="6">
        <v>43460</v>
      </c>
      <c r="D176" s="6">
        <v>43462</v>
      </c>
      <c r="E176" s="5" t="s">
        <v>160</v>
      </c>
      <c r="F176" s="5" t="s">
        <v>759</v>
      </c>
      <c r="G176" s="5" t="s">
        <v>760</v>
      </c>
      <c r="H176" s="5" t="s">
        <v>26</v>
      </c>
      <c r="I176" s="5" t="s">
        <v>27</v>
      </c>
      <c r="J176" s="5" t="s">
        <v>761</v>
      </c>
      <c r="K176" s="5" t="s">
        <v>338</v>
      </c>
      <c r="L176" s="5">
        <v>80906</v>
      </c>
      <c r="M176" s="5" t="s">
        <v>30</v>
      </c>
      <c r="N176" s="5" t="s">
        <v>762</v>
      </c>
      <c r="O176" s="5" t="s">
        <v>32</v>
      </c>
      <c r="P176" s="5" t="s">
        <v>53</v>
      </c>
      <c r="Q176" s="5" t="s">
        <v>763</v>
      </c>
      <c r="R176" s="5">
        <v>78.600000000000009</v>
      </c>
      <c r="S176" s="5">
        <v>5</v>
      </c>
      <c r="T176" s="5">
        <v>0.7</v>
      </c>
      <c r="U176" s="5">
        <v>117.90000000000003</v>
      </c>
      <c r="V176" s="7">
        <v>-62.88000000000001</v>
      </c>
    </row>
    <row r="177" spans="1:22" ht="15.5" x14ac:dyDescent="0.35">
      <c r="A177" s="8">
        <v>298</v>
      </c>
      <c r="B177" s="9" t="s">
        <v>758</v>
      </c>
      <c r="C177" s="10">
        <v>43460</v>
      </c>
      <c r="D177" s="10">
        <v>43462</v>
      </c>
      <c r="E177" s="9" t="s">
        <v>160</v>
      </c>
      <c r="F177" s="9" t="s">
        <v>759</v>
      </c>
      <c r="G177" s="9" t="s">
        <v>760</v>
      </c>
      <c r="H177" s="9" t="s">
        <v>26</v>
      </c>
      <c r="I177" s="9" t="s">
        <v>27</v>
      </c>
      <c r="J177" s="9" t="s">
        <v>761</v>
      </c>
      <c r="K177" s="9" t="s">
        <v>338</v>
      </c>
      <c r="L177" s="9">
        <v>80906</v>
      </c>
      <c r="M177" s="9" t="s">
        <v>30</v>
      </c>
      <c r="N177" s="9" t="s">
        <v>764</v>
      </c>
      <c r="O177" s="9" t="s">
        <v>32</v>
      </c>
      <c r="P177" s="9" t="s">
        <v>189</v>
      </c>
      <c r="Q177" s="9" t="s">
        <v>765</v>
      </c>
      <c r="R177" s="9">
        <v>27.552000000000003</v>
      </c>
      <c r="S177" s="9">
        <v>3</v>
      </c>
      <c r="T177" s="9">
        <v>0.2</v>
      </c>
      <c r="U177" s="9">
        <v>66.124800000000008</v>
      </c>
      <c r="V177" s="11">
        <v>9.2987999999999964</v>
      </c>
    </row>
    <row r="178" spans="1:22" ht="15.5" x14ac:dyDescent="0.35">
      <c r="A178" s="4">
        <v>299</v>
      </c>
      <c r="B178" s="5" t="s">
        <v>766</v>
      </c>
      <c r="C178" s="6">
        <v>44132</v>
      </c>
      <c r="D178" s="6">
        <v>44138</v>
      </c>
      <c r="E178" s="5" t="s">
        <v>36</v>
      </c>
      <c r="F178" s="5" t="s">
        <v>767</v>
      </c>
      <c r="G178" s="5" t="s">
        <v>768</v>
      </c>
      <c r="H178" s="5" t="s">
        <v>26</v>
      </c>
      <c r="I178" s="5" t="s">
        <v>27</v>
      </c>
      <c r="J178" s="5" t="s">
        <v>769</v>
      </c>
      <c r="K178" s="5" t="s">
        <v>568</v>
      </c>
      <c r="L178" s="5">
        <v>7109</v>
      </c>
      <c r="M178" s="5" t="s">
        <v>125</v>
      </c>
      <c r="N178" s="5" t="s">
        <v>770</v>
      </c>
      <c r="O178" s="5" t="s">
        <v>32</v>
      </c>
      <c r="P178" s="5" t="s">
        <v>64</v>
      </c>
      <c r="Q178" s="5" t="s">
        <v>771</v>
      </c>
      <c r="R178" s="5">
        <v>32.400000000000006</v>
      </c>
      <c r="S178" s="5">
        <v>5</v>
      </c>
      <c r="T178" s="5">
        <v>0</v>
      </c>
      <c r="U178" s="5">
        <v>162.00000000000003</v>
      </c>
      <c r="V178" s="7">
        <v>15.552000000000001</v>
      </c>
    </row>
    <row r="179" spans="1:22" ht="15.5" x14ac:dyDescent="0.35">
      <c r="A179" s="8">
        <v>300</v>
      </c>
      <c r="B179" s="9" t="s">
        <v>766</v>
      </c>
      <c r="C179" s="10">
        <v>44132</v>
      </c>
      <c r="D179" s="10">
        <v>44138</v>
      </c>
      <c r="E179" s="9" t="s">
        <v>36</v>
      </c>
      <c r="F179" s="9" t="s">
        <v>767</v>
      </c>
      <c r="G179" s="9" t="s">
        <v>768</v>
      </c>
      <c r="H179" s="9" t="s">
        <v>26</v>
      </c>
      <c r="I179" s="9" t="s">
        <v>27</v>
      </c>
      <c r="J179" s="9" t="s">
        <v>769</v>
      </c>
      <c r="K179" s="9" t="s">
        <v>568</v>
      </c>
      <c r="L179" s="9">
        <v>7109</v>
      </c>
      <c r="M179" s="9" t="s">
        <v>125</v>
      </c>
      <c r="N179" s="9" t="s">
        <v>772</v>
      </c>
      <c r="O179" s="9" t="s">
        <v>32</v>
      </c>
      <c r="P179" s="9" t="s">
        <v>44</v>
      </c>
      <c r="Q179" s="9" t="s">
        <v>773</v>
      </c>
      <c r="R179" s="9">
        <v>1082.48</v>
      </c>
      <c r="S179" s="9">
        <v>8</v>
      </c>
      <c r="T179" s="9">
        <v>0</v>
      </c>
      <c r="U179" s="9">
        <v>8659.84</v>
      </c>
      <c r="V179" s="11">
        <v>10.824800000000096</v>
      </c>
    </row>
    <row r="180" spans="1:22" ht="15.5" x14ac:dyDescent="0.35">
      <c r="A180" s="4">
        <v>301</v>
      </c>
      <c r="B180" s="5" t="s">
        <v>766</v>
      </c>
      <c r="C180" s="6">
        <v>44132</v>
      </c>
      <c r="D180" s="6">
        <v>44138</v>
      </c>
      <c r="E180" s="5" t="s">
        <v>36</v>
      </c>
      <c r="F180" s="5" t="s">
        <v>767</v>
      </c>
      <c r="G180" s="5" t="s">
        <v>768</v>
      </c>
      <c r="H180" s="5" t="s">
        <v>26</v>
      </c>
      <c r="I180" s="5" t="s">
        <v>27</v>
      </c>
      <c r="J180" s="5" t="s">
        <v>769</v>
      </c>
      <c r="K180" s="5" t="s">
        <v>568</v>
      </c>
      <c r="L180" s="5">
        <v>7109</v>
      </c>
      <c r="M180" s="5" t="s">
        <v>125</v>
      </c>
      <c r="N180" s="5" t="s">
        <v>774</v>
      </c>
      <c r="O180" s="5" t="s">
        <v>32</v>
      </c>
      <c r="P180" s="5" t="s">
        <v>64</v>
      </c>
      <c r="Q180" s="5" t="s">
        <v>775</v>
      </c>
      <c r="R180" s="5">
        <v>56.91</v>
      </c>
      <c r="S180" s="5">
        <v>3</v>
      </c>
      <c r="T180" s="5">
        <v>0</v>
      </c>
      <c r="U180" s="5">
        <v>170.73</v>
      </c>
      <c r="V180" s="7">
        <v>27.316799999999997</v>
      </c>
    </row>
    <row r="181" spans="1:22" ht="15.5" x14ac:dyDescent="0.35">
      <c r="A181" s="8">
        <v>303</v>
      </c>
      <c r="B181" s="9" t="s">
        <v>766</v>
      </c>
      <c r="C181" s="10">
        <v>44132</v>
      </c>
      <c r="D181" s="10">
        <v>44138</v>
      </c>
      <c r="E181" s="9" t="s">
        <v>36</v>
      </c>
      <c r="F181" s="9" t="s">
        <v>767</v>
      </c>
      <c r="G181" s="9" t="s">
        <v>768</v>
      </c>
      <c r="H181" s="9" t="s">
        <v>26</v>
      </c>
      <c r="I181" s="9" t="s">
        <v>27</v>
      </c>
      <c r="J181" s="9" t="s">
        <v>769</v>
      </c>
      <c r="K181" s="9" t="s">
        <v>568</v>
      </c>
      <c r="L181" s="9">
        <v>7109</v>
      </c>
      <c r="M181" s="9" t="s">
        <v>125</v>
      </c>
      <c r="N181" s="9" t="s">
        <v>776</v>
      </c>
      <c r="O181" s="9" t="s">
        <v>32</v>
      </c>
      <c r="P181" s="9" t="s">
        <v>53</v>
      </c>
      <c r="Q181" s="9" t="s">
        <v>777</v>
      </c>
      <c r="R181" s="9">
        <v>14.28</v>
      </c>
      <c r="S181" s="9">
        <v>1</v>
      </c>
      <c r="T181" s="9">
        <v>0</v>
      </c>
      <c r="U181" s="9">
        <v>14.28</v>
      </c>
      <c r="V181" s="11">
        <v>6.5687999999999995</v>
      </c>
    </row>
    <row r="182" spans="1:22" ht="15.5" x14ac:dyDescent="0.35">
      <c r="A182" s="4">
        <v>306</v>
      </c>
      <c r="B182" s="5" t="s">
        <v>778</v>
      </c>
      <c r="C182" s="6">
        <v>43464</v>
      </c>
      <c r="D182" s="6">
        <v>43469</v>
      </c>
      <c r="E182" s="5" t="s">
        <v>36</v>
      </c>
      <c r="F182" s="5" t="s">
        <v>243</v>
      </c>
      <c r="G182" s="5" t="s">
        <v>244</v>
      </c>
      <c r="H182" s="5" t="s">
        <v>26</v>
      </c>
      <c r="I182" s="5" t="s">
        <v>27</v>
      </c>
      <c r="J182" s="5" t="s">
        <v>779</v>
      </c>
      <c r="K182" s="5" t="s">
        <v>171</v>
      </c>
      <c r="L182" s="5">
        <v>48180</v>
      </c>
      <c r="M182" s="5" t="s">
        <v>79</v>
      </c>
      <c r="N182" s="5" t="s">
        <v>780</v>
      </c>
      <c r="O182" s="5" t="s">
        <v>32</v>
      </c>
      <c r="P182" s="5" t="s">
        <v>50</v>
      </c>
      <c r="Q182" s="5" t="s">
        <v>781</v>
      </c>
      <c r="R182" s="5">
        <v>9.84</v>
      </c>
      <c r="S182" s="5">
        <v>3</v>
      </c>
      <c r="T182" s="5">
        <v>0</v>
      </c>
      <c r="U182" s="5">
        <v>29.52</v>
      </c>
      <c r="V182" s="7">
        <v>2.8535999999999988</v>
      </c>
    </row>
    <row r="183" spans="1:22" ht="15.5" x14ac:dyDescent="0.35">
      <c r="A183" s="8">
        <v>307</v>
      </c>
      <c r="B183" s="9" t="s">
        <v>782</v>
      </c>
      <c r="C183" s="10">
        <v>43252</v>
      </c>
      <c r="D183" s="10">
        <v>43257</v>
      </c>
      <c r="E183" s="9" t="s">
        <v>36</v>
      </c>
      <c r="F183" s="9" t="s">
        <v>783</v>
      </c>
      <c r="G183" s="9" t="s">
        <v>784</v>
      </c>
      <c r="H183" s="9" t="s">
        <v>76</v>
      </c>
      <c r="I183" s="9" t="s">
        <v>27</v>
      </c>
      <c r="J183" s="9" t="s">
        <v>785</v>
      </c>
      <c r="K183" s="9" t="s">
        <v>568</v>
      </c>
      <c r="L183" s="9">
        <v>8701</v>
      </c>
      <c r="M183" s="9" t="s">
        <v>125</v>
      </c>
      <c r="N183" s="9" t="s">
        <v>786</v>
      </c>
      <c r="O183" s="9" t="s">
        <v>32</v>
      </c>
      <c r="P183" s="9" t="s">
        <v>53</v>
      </c>
      <c r="Q183" s="9" t="s">
        <v>787</v>
      </c>
      <c r="R183" s="9">
        <v>45.480000000000004</v>
      </c>
      <c r="S183" s="9">
        <v>3</v>
      </c>
      <c r="T183" s="9">
        <v>0</v>
      </c>
      <c r="U183" s="9">
        <v>136.44</v>
      </c>
      <c r="V183" s="11">
        <v>20.9208</v>
      </c>
    </row>
    <row r="184" spans="1:22" ht="15.5" x14ac:dyDescent="0.35">
      <c r="A184" s="4">
        <v>308</v>
      </c>
      <c r="B184" s="5" t="s">
        <v>782</v>
      </c>
      <c r="C184" s="6">
        <v>43252</v>
      </c>
      <c r="D184" s="6">
        <v>43257</v>
      </c>
      <c r="E184" s="5" t="s">
        <v>36</v>
      </c>
      <c r="F184" s="5" t="s">
        <v>783</v>
      </c>
      <c r="G184" s="5" t="s">
        <v>784</v>
      </c>
      <c r="H184" s="5" t="s">
        <v>76</v>
      </c>
      <c r="I184" s="5" t="s">
        <v>27</v>
      </c>
      <c r="J184" s="5" t="s">
        <v>785</v>
      </c>
      <c r="K184" s="5" t="s">
        <v>568</v>
      </c>
      <c r="L184" s="5">
        <v>8701</v>
      </c>
      <c r="M184" s="5" t="s">
        <v>125</v>
      </c>
      <c r="N184" s="5" t="s">
        <v>788</v>
      </c>
      <c r="O184" s="5" t="s">
        <v>32</v>
      </c>
      <c r="P184" s="5" t="s">
        <v>50</v>
      </c>
      <c r="Q184" s="5" t="s">
        <v>789</v>
      </c>
      <c r="R184" s="5">
        <v>289.20000000000005</v>
      </c>
      <c r="S184" s="5">
        <v>6</v>
      </c>
      <c r="T184" s="5">
        <v>0</v>
      </c>
      <c r="U184" s="5">
        <v>1735.2000000000003</v>
      </c>
      <c r="V184" s="7">
        <v>83.867999999999967</v>
      </c>
    </row>
    <row r="185" spans="1:22" ht="15.5" x14ac:dyDescent="0.35">
      <c r="A185" s="8">
        <v>309</v>
      </c>
      <c r="B185" s="9" t="s">
        <v>790</v>
      </c>
      <c r="C185" s="10">
        <v>44301</v>
      </c>
      <c r="D185" s="10">
        <v>44303</v>
      </c>
      <c r="E185" s="9" t="s">
        <v>160</v>
      </c>
      <c r="F185" s="9" t="s">
        <v>791</v>
      </c>
      <c r="G185" s="9" t="s">
        <v>792</v>
      </c>
      <c r="H185" s="9" t="s">
        <v>39</v>
      </c>
      <c r="I185" s="9" t="s">
        <v>27</v>
      </c>
      <c r="J185" s="9" t="s">
        <v>793</v>
      </c>
      <c r="K185" s="9" t="s">
        <v>223</v>
      </c>
      <c r="L185" s="9">
        <v>22204</v>
      </c>
      <c r="M185" s="9" t="s">
        <v>42</v>
      </c>
      <c r="N185" s="9" t="s">
        <v>794</v>
      </c>
      <c r="O185" s="9" t="s">
        <v>32</v>
      </c>
      <c r="P185" s="9" t="s">
        <v>50</v>
      </c>
      <c r="Q185" s="9" t="s">
        <v>795</v>
      </c>
      <c r="R185" s="9">
        <v>4.8899999999999997</v>
      </c>
      <c r="S185" s="9">
        <v>1</v>
      </c>
      <c r="T185" s="9">
        <v>0</v>
      </c>
      <c r="U185" s="9">
        <v>4.8899999999999997</v>
      </c>
      <c r="V185" s="11">
        <v>2.0049000000000001</v>
      </c>
    </row>
    <row r="186" spans="1:22" ht="15.5" x14ac:dyDescent="0.35">
      <c r="A186" s="4">
        <v>313</v>
      </c>
      <c r="B186" s="5" t="s">
        <v>796</v>
      </c>
      <c r="C186" s="6">
        <v>44086</v>
      </c>
      <c r="D186" s="6">
        <v>44088</v>
      </c>
      <c r="E186" s="5" t="s">
        <v>23</v>
      </c>
      <c r="F186" s="5" t="s">
        <v>797</v>
      </c>
      <c r="G186" s="5" t="s">
        <v>798</v>
      </c>
      <c r="H186" s="5" t="s">
        <v>26</v>
      </c>
      <c r="I186" s="5" t="s">
        <v>27</v>
      </c>
      <c r="J186" s="5" t="s">
        <v>799</v>
      </c>
      <c r="K186" s="5" t="s">
        <v>338</v>
      </c>
      <c r="L186" s="5">
        <v>80004</v>
      </c>
      <c r="M186" s="5" t="s">
        <v>30</v>
      </c>
      <c r="N186" s="5" t="s">
        <v>800</v>
      </c>
      <c r="O186" s="5" t="s">
        <v>32</v>
      </c>
      <c r="P186" s="5" t="s">
        <v>33</v>
      </c>
      <c r="Q186" s="5" t="s">
        <v>801</v>
      </c>
      <c r="R186" s="5">
        <v>6.2640000000000002</v>
      </c>
      <c r="S186" s="5">
        <v>3</v>
      </c>
      <c r="T186" s="5">
        <v>0.2</v>
      </c>
      <c r="U186" s="5">
        <v>15.033600000000002</v>
      </c>
      <c r="V186" s="7">
        <v>2.0358000000000001</v>
      </c>
    </row>
    <row r="187" spans="1:22" ht="15.5" x14ac:dyDescent="0.35">
      <c r="A187" s="8">
        <v>316</v>
      </c>
      <c r="B187" s="9" t="s">
        <v>802</v>
      </c>
      <c r="C187" s="10">
        <v>43321</v>
      </c>
      <c r="D187" s="10">
        <v>43328</v>
      </c>
      <c r="E187" s="9" t="s">
        <v>36</v>
      </c>
      <c r="F187" s="9" t="s">
        <v>803</v>
      </c>
      <c r="G187" s="9" t="s">
        <v>804</v>
      </c>
      <c r="H187" s="9" t="s">
        <v>26</v>
      </c>
      <c r="I187" s="9" t="s">
        <v>27</v>
      </c>
      <c r="J187" s="9" t="s">
        <v>805</v>
      </c>
      <c r="K187" s="9" t="s">
        <v>41</v>
      </c>
      <c r="L187" s="9">
        <v>33710</v>
      </c>
      <c r="M187" s="9" t="s">
        <v>42</v>
      </c>
      <c r="N187" s="9" t="s">
        <v>806</v>
      </c>
      <c r="O187" s="9" t="s">
        <v>32</v>
      </c>
      <c r="P187" s="9" t="s">
        <v>64</v>
      </c>
      <c r="Q187" s="9" t="s">
        <v>807</v>
      </c>
      <c r="R187" s="9">
        <v>15.552000000000003</v>
      </c>
      <c r="S187" s="9">
        <v>3</v>
      </c>
      <c r="T187" s="9">
        <v>0.2</v>
      </c>
      <c r="U187" s="9">
        <v>37.324800000000003</v>
      </c>
      <c r="V187" s="11">
        <v>5.4432</v>
      </c>
    </row>
    <row r="188" spans="1:22" ht="15.5" x14ac:dyDescent="0.35">
      <c r="A188" s="4">
        <v>317</v>
      </c>
      <c r="B188" s="5" t="s">
        <v>808</v>
      </c>
      <c r="C188" s="6">
        <v>43462</v>
      </c>
      <c r="D188" s="6">
        <v>43464</v>
      </c>
      <c r="E188" s="5" t="s">
        <v>160</v>
      </c>
      <c r="F188" s="5" t="s">
        <v>809</v>
      </c>
      <c r="G188" s="5" t="s">
        <v>810</v>
      </c>
      <c r="H188" s="5" t="s">
        <v>26</v>
      </c>
      <c r="I188" s="5" t="s">
        <v>27</v>
      </c>
      <c r="J188" s="5" t="s">
        <v>123</v>
      </c>
      <c r="K188" s="5" t="s">
        <v>124</v>
      </c>
      <c r="L188" s="5">
        <v>19143</v>
      </c>
      <c r="M188" s="5" t="s">
        <v>125</v>
      </c>
      <c r="N188" s="5" t="s">
        <v>811</v>
      </c>
      <c r="O188" s="5" t="s">
        <v>32</v>
      </c>
      <c r="P188" s="5" t="s">
        <v>50</v>
      </c>
      <c r="Q188" s="5" t="s">
        <v>812</v>
      </c>
      <c r="R188" s="5">
        <v>99.13600000000001</v>
      </c>
      <c r="S188" s="5">
        <v>4</v>
      </c>
      <c r="T188" s="5">
        <v>0.2</v>
      </c>
      <c r="U188" s="5">
        <v>317.23520000000002</v>
      </c>
      <c r="V188" s="7">
        <v>8.674399999999995</v>
      </c>
    </row>
    <row r="189" spans="1:22" ht="15.5" x14ac:dyDescent="0.35">
      <c r="A189" s="8">
        <v>322</v>
      </c>
      <c r="B189" s="9" t="s">
        <v>813</v>
      </c>
      <c r="C189" s="10">
        <v>43408</v>
      </c>
      <c r="D189" s="10">
        <v>43413</v>
      </c>
      <c r="E189" s="9" t="s">
        <v>36</v>
      </c>
      <c r="F189" s="9" t="s">
        <v>814</v>
      </c>
      <c r="G189" s="9" t="s">
        <v>815</v>
      </c>
      <c r="H189" s="9" t="s">
        <v>76</v>
      </c>
      <c r="I189" s="9" t="s">
        <v>27</v>
      </c>
      <c r="J189" s="9" t="s">
        <v>186</v>
      </c>
      <c r="K189" s="9" t="s">
        <v>187</v>
      </c>
      <c r="L189" s="9">
        <v>10024</v>
      </c>
      <c r="M189" s="9" t="s">
        <v>125</v>
      </c>
      <c r="N189" s="9" t="s">
        <v>390</v>
      </c>
      <c r="O189" s="9" t="s">
        <v>32</v>
      </c>
      <c r="P189" s="9" t="s">
        <v>44</v>
      </c>
      <c r="Q189" s="9" t="s">
        <v>391</v>
      </c>
      <c r="R189" s="9">
        <v>43.57</v>
      </c>
      <c r="S189" s="9">
        <v>1</v>
      </c>
      <c r="T189" s="9">
        <v>0</v>
      </c>
      <c r="U189" s="9">
        <v>43.57</v>
      </c>
      <c r="V189" s="11">
        <v>13.070999999999998</v>
      </c>
    </row>
    <row r="190" spans="1:22" ht="15.5" x14ac:dyDescent="0.35">
      <c r="A190" s="4">
        <v>323</v>
      </c>
      <c r="B190" s="5" t="s">
        <v>816</v>
      </c>
      <c r="C190" s="6">
        <v>43362</v>
      </c>
      <c r="D190" s="6">
        <v>43367</v>
      </c>
      <c r="E190" s="5" t="s">
        <v>36</v>
      </c>
      <c r="F190" s="5" t="s">
        <v>817</v>
      </c>
      <c r="G190" s="5" t="s">
        <v>818</v>
      </c>
      <c r="H190" s="5" t="s">
        <v>26</v>
      </c>
      <c r="I190" s="5" t="s">
        <v>27</v>
      </c>
      <c r="J190" s="5" t="s">
        <v>819</v>
      </c>
      <c r="K190" s="5" t="s">
        <v>29</v>
      </c>
      <c r="L190" s="5">
        <v>90805</v>
      </c>
      <c r="M190" s="5" t="s">
        <v>30</v>
      </c>
      <c r="N190" s="5" t="s">
        <v>820</v>
      </c>
      <c r="O190" s="5" t="s">
        <v>32</v>
      </c>
      <c r="P190" s="5" t="s">
        <v>189</v>
      </c>
      <c r="Q190" s="5" t="s">
        <v>821</v>
      </c>
      <c r="R190" s="5">
        <v>7.16</v>
      </c>
      <c r="S190" s="5">
        <v>2</v>
      </c>
      <c r="T190" s="5">
        <v>0</v>
      </c>
      <c r="U190" s="5">
        <v>14.32</v>
      </c>
      <c r="V190" s="7">
        <v>3.58</v>
      </c>
    </row>
    <row r="191" spans="1:22" ht="15.5" x14ac:dyDescent="0.35">
      <c r="A191" s="8">
        <v>324</v>
      </c>
      <c r="B191" s="9" t="s">
        <v>822</v>
      </c>
      <c r="C191" s="10">
        <v>43944</v>
      </c>
      <c r="D191" s="10">
        <v>43948</v>
      </c>
      <c r="E191" s="9" t="s">
        <v>36</v>
      </c>
      <c r="F191" s="9" t="s">
        <v>823</v>
      </c>
      <c r="G191" s="9" t="s">
        <v>824</v>
      </c>
      <c r="H191" s="9" t="s">
        <v>26</v>
      </c>
      <c r="I191" s="9" t="s">
        <v>27</v>
      </c>
      <c r="J191" s="9" t="s">
        <v>825</v>
      </c>
      <c r="K191" s="9" t="s">
        <v>29</v>
      </c>
      <c r="L191" s="9">
        <v>92345</v>
      </c>
      <c r="M191" s="9" t="s">
        <v>30</v>
      </c>
      <c r="N191" s="9" t="s">
        <v>762</v>
      </c>
      <c r="O191" s="9" t="s">
        <v>32</v>
      </c>
      <c r="P191" s="9" t="s">
        <v>53</v>
      </c>
      <c r="Q191" s="9" t="s">
        <v>763</v>
      </c>
      <c r="R191" s="9">
        <v>251.52</v>
      </c>
      <c r="S191" s="9">
        <v>6</v>
      </c>
      <c r="T191" s="9">
        <v>0.2</v>
      </c>
      <c r="U191" s="9">
        <v>1207.296</v>
      </c>
      <c r="V191" s="11">
        <v>81.744</v>
      </c>
    </row>
    <row r="192" spans="1:22" ht="15.5" x14ac:dyDescent="0.35">
      <c r="A192" s="4">
        <v>328</v>
      </c>
      <c r="B192" s="5" t="s">
        <v>826</v>
      </c>
      <c r="C192" s="6">
        <v>44073</v>
      </c>
      <c r="D192" s="6">
        <v>44075</v>
      </c>
      <c r="E192" s="5" t="s">
        <v>160</v>
      </c>
      <c r="F192" s="5" t="s">
        <v>827</v>
      </c>
      <c r="G192" s="5" t="s">
        <v>828</v>
      </c>
      <c r="H192" s="5" t="s">
        <v>39</v>
      </c>
      <c r="I192" s="5" t="s">
        <v>27</v>
      </c>
      <c r="J192" s="5" t="s">
        <v>123</v>
      </c>
      <c r="K192" s="5" t="s">
        <v>124</v>
      </c>
      <c r="L192" s="5">
        <v>19143</v>
      </c>
      <c r="M192" s="5" t="s">
        <v>125</v>
      </c>
      <c r="N192" s="5" t="s">
        <v>829</v>
      </c>
      <c r="O192" s="5" t="s">
        <v>32</v>
      </c>
      <c r="P192" s="5" t="s">
        <v>44</v>
      </c>
      <c r="Q192" s="5" t="s">
        <v>830</v>
      </c>
      <c r="R192" s="5">
        <v>54.224000000000004</v>
      </c>
      <c r="S192" s="5">
        <v>2</v>
      </c>
      <c r="T192" s="5">
        <v>0.2</v>
      </c>
      <c r="U192" s="5">
        <v>86.758400000000009</v>
      </c>
      <c r="V192" s="7">
        <v>3.3889999999999993</v>
      </c>
    </row>
    <row r="193" spans="1:22" ht="15.5" x14ac:dyDescent="0.35">
      <c r="A193" s="8">
        <v>330</v>
      </c>
      <c r="B193" s="9" t="s">
        <v>826</v>
      </c>
      <c r="C193" s="10">
        <v>44073</v>
      </c>
      <c r="D193" s="10">
        <v>44075</v>
      </c>
      <c r="E193" s="9" t="s">
        <v>160</v>
      </c>
      <c r="F193" s="9" t="s">
        <v>827</v>
      </c>
      <c r="G193" s="9" t="s">
        <v>828</v>
      </c>
      <c r="H193" s="9" t="s">
        <v>39</v>
      </c>
      <c r="I193" s="9" t="s">
        <v>27</v>
      </c>
      <c r="J193" s="9" t="s">
        <v>123</v>
      </c>
      <c r="K193" s="9" t="s">
        <v>124</v>
      </c>
      <c r="L193" s="9">
        <v>19143</v>
      </c>
      <c r="M193" s="9" t="s">
        <v>125</v>
      </c>
      <c r="N193" s="9" t="s">
        <v>831</v>
      </c>
      <c r="O193" s="9" t="s">
        <v>32</v>
      </c>
      <c r="P193" s="9" t="s">
        <v>33</v>
      </c>
      <c r="Q193" s="9" t="s">
        <v>832</v>
      </c>
      <c r="R193" s="9">
        <v>100.24000000000001</v>
      </c>
      <c r="S193" s="9">
        <v>10</v>
      </c>
      <c r="T193" s="9">
        <v>0.2</v>
      </c>
      <c r="U193" s="9">
        <v>801.92000000000007</v>
      </c>
      <c r="V193" s="11">
        <v>33.830999999999989</v>
      </c>
    </row>
    <row r="194" spans="1:22" ht="15.5" x14ac:dyDescent="0.35">
      <c r="A194" s="4">
        <v>331</v>
      </c>
      <c r="B194" s="5" t="s">
        <v>826</v>
      </c>
      <c r="C194" s="6">
        <v>44073</v>
      </c>
      <c r="D194" s="6">
        <v>44075</v>
      </c>
      <c r="E194" s="5" t="s">
        <v>160</v>
      </c>
      <c r="F194" s="5" t="s">
        <v>827</v>
      </c>
      <c r="G194" s="5" t="s">
        <v>828</v>
      </c>
      <c r="H194" s="5" t="s">
        <v>39</v>
      </c>
      <c r="I194" s="5" t="s">
        <v>27</v>
      </c>
      <c r="J194" s="5" t="s">
        <v>123</v>
      </c>
      <c r="K194" s="5" t="s">
        <v>124</v>
      </c>
      <c r="L194" s="5">
        <v>19143</v>
      </c>
      <c r="M194" s="5" t="s">
        <v>125</v>
      </c>
      <c r="N194" s="5" t="s">
        <v>833</v>
      </c>
      <c r="O194" s="5" t="s">
        <v>32</v>
      </c>
      <c r="P194" s="5" t="s">
        <v>53</v>
      </c>
      <c r="Q194" s="5" t="s">
        <v>834</v>
      </c>
      <c r="R194" s="5">
        <v>37.76400000000001</v>
      </c>
      <c r="S194" s="5">
        <v>6</v>
      </c>
      <c r="T194" s="5">
        <v>0.7</v>
      </c>
      <c r="U194" s="5">
        <v>67.975200000000029</v>
      </c>
      <c r="V194" s="7">
        <v>-27.693600000000004</v>
      </c>
    </row>
    <row r="195" spans="1:22" ht="15.5" x14ac:dyDescent="0.35">
      <c r="A195" s="8">
        <v>333</v>
      </c>
      <c r="B195" s="9" t="s">
        <v>835</v>
      </c>
      <c r="C195" s="10">
        <v>43946</v>
      </c>
      <c r="D195" s="10">
        <v>43950</v>
      </c>
      <c r="E195" s="9" t="s">
        <v>23</v>
      </c>
      <c r="F195" s="9" t="s">
        <v>836</v>
      </c>
      <c r="G195" s="9" t="s">
        <v>837</v>
      </c>
      <c r="H195" s="9" t="s">
        <v>39</v>
      </c>
      <c r="I195" s="9" t="s">
        <v>27</v>
      </c>
      <c r="J195" s="9" t="s">
        <v>123</v>
      </c>
      <c r="K195" s="9" t="s">
        <v>124</v>
      </c>
      <c r="L195" s="9">
        <v>19134</v>
      </c>
      <c r="M195" s="9" t="s">
        <v>125</v>
      </c>
      <c r="N195" s="9" t="s">
        <v>838</v>
      </c>
      <c r="O195" s="9" t="s">
        <v>32</v>
      </c>
      <c r="P195" s="9" t="s">
        <v>53</v>
      </c>
      <c r="Q195" s="9" t="s">
        <v>839</v>
      </c>
      <c r="R195" s="9">
        <v>20.724000000000004</v>
      </c>
      <c r="S195" s="9">
        <v>2</v>
      </c>
      <c r="T195" s="9">
        <v>0.7</v>
      </c>
      <c r="U195" s="9">
        <v>12.434400000000004</v>
      </c>
      <c r="V195" s="11">
        <v>-13.815999999999995</v>
      </c>
    </row>
    <row r="196" spans="1:22" ht="15.5" x14ac:dyDescent="0.35">
      <c r="A196" s="4">
        <v>334</v>
      </c>
      <c r="B196" s="5" t="s">
        <v>835</v>
      </c>
      <c r="C196" s="6">
        <v>43946</v>
      </c>
      <c r="D196" s="6">
        <v>43950</v>
      </c>
      <c r="E196" s="5" t="s">
        <v>23</v>
      </c>
      <c r="F196" s="5" t="s">
        <v>836</v>
      </c>
      <c r="G196" s="5" t="s">
        <v>837</v>
      </c>
      <c r="H196" s="5" t="s">
        <v>39</v>
      </c>
      <c r="I196" s="5" t="s">
        <v>27</v>
      </c>
      <c r="J196" s="5" t="s">
        <v>123</v>
      </c>
      <c r="K196" s="5" t="s">
        <v>124</v>
      </c>
      <c r="L196" s="5">
        <v>19134</v>
      </c>
      <c r="M196" s="5" t="s">
        <v>125</v>
      </c>
      <c r="N196" s="5" t="s">
        <v>840</v>
      </c>
      <c r="O196" s="5" t="s">
        <v>32</v>
      </c>
      <c r="P196" s="5" t="s">
        <v>53</v>
      </c>
      <c r="Q196" s="5" t="s">
        <v>841</v>
      </c>
      <c r="R196" s="5">
        <v>4.8960000000000008</v>
      </c>
      <c r="S196" s="5">
        <v>3</v>
      </c>
      <c r="T196" s="5">
        <v>0.7</v>
      </c>
      <c r="U196" s="5">
        <v>4.4064000000000014</v>
      </c>
      <c r="V196" s="7">
        <v>-3.4271999999999991</v>
      </c>
    </row>
    <row r="197" spans="1:22" ht="15.5" x14ac:dyDescent="0.35">
      <c r="A197" s="8">
        <v>335</v>
      </c>
      <c r="B197" s="9" t="s">
        <v>842</v>
      </c>
      <c r="C197" s="10">
        <v>43709</v>
      </c>
      <c r="D197" s="10">
        <v>43712</v>
      </c>
      <c r="E197" s="9" t="s">
        <v>23</v>
      </c>
      <c r="F197" s="9" t="s">
        <v>843</v>
      </c>
      <c r="G197" s="9" t="s">
        <v>844</v>
      </c>
      <c r="H197" s="9" t="s">
        <v>39</v>
      </c>
      <c r="I197" s="9" t="s">
        <v>27</v>
      </c>
      <c r="J197" s="9" t="s">
        <v>28</v>
      </c>
      <c r="K197" s="9" t="s">
        <v>29</v>
      </c>
      <c r="L197" s="9">
        <v>90045</v>
      </c>
      <c r="M197" s="9" t="s">
        <v>30</v>
      </c>
      <c r="N197" s="9" t="s">
        <v>845</v>
      </c>
      <c r="O197" s="9" t="s">
        <v>32</v>
      </c>
      <c r="P197" s="9" t="s">
        <v>53</v>
      </c>
      <c r="Q197" s="9" t="s">
        <v>846</v>
      </c>
      <c r="R197" s="9">
        <v>4.7520000000000007</v>
      </c>
      <c r="S197" s="9">
        <v>1</v>
      </c>
      <c r="T197" s="9">
        <v>0.2</v>
      </c>
      <c r="U197" s="9">
        <v>3.8016000000000005</v>
      </c>
      <c r="V197" s="11">
        <v>1.6037999999999997</v>
      </c>
    </row>
    <row r="198" spans="1:22" ht="15.5" x14ac:dyDescent="0.35">
      <c r="A198" s="4">
        <v>337</v>
      </c>
      <c r="B198" s="5" t="s">
        <v>842</v>
      </c>
      <c r="C198" s="6">
        <v>43709</v>
      </c>
      <c r="D198" s="6">
        <v>43712</v>
      </c>
      <c r="E198" s="5" t="s">
        <v>23</v>
      </c>
      <c r="F198" s="5" t="s">
        <v>843</v>
      </c>
      <c r="G198" s="5" t="s">
        <v>844</v>
      </c>
      <c r="H198" s="5" t="s">
        <v>39</v>
      </c>
      <c r="I198" s="5" t="s">
        <v>27</v>
      </c>
      <c r="J198" s="5" t="s">
        <v>28</v>
      </c>
      <c r="K198" s="5" t="s">
        <v>29</v>
      </c>
      <c r="L198" s="5">
        <v>90045</v>
      </c>
      <c r="M198" s="5" t="s">
        <v>30</v>
      </c>
      <c r="N198" s="5" t="s">
        <v>847</v>
      </c>
      <c r="O198" s="5" t="s">
        <v>32</v>
      </c>
      <c r="P198" s="5" t="s">
        <v>53</v>
      </c>
      <c r="Q198" s="5" t="s">
        <v>848</v>
      </c>
      <c r="R198" s="5">
        <v>14.368000000000002</v>
      </c>
      <c r="S198" s="5">
        <v>4</v>
      </c>
      <c r="T198" s="5">
        <v>0.2</v>
      </c>
      <c r="U198" s="5">
        <v>45.97760000000001</v>
      </c>
      <c r="V198" s="7">
        <v>4.4899999999999984</v>
      </c>
    </row>
    <row r="199" spans="1:22" ht="15.5" x14ac:dyDescent="0.35">
      <c r="A199" s="8">
        <v>338</v>
      </c>
      <c r="B199" s="9" t="s">
        <v>849</v>
      </c>
      <c r="C199" s="10">
        <v>43293</v>
      </c>
      <c r="D199" s="10">
        <v>43298</v>
      </c>
      <c r="E199" s="9" t="s">
        <v>36</v>
      </c>
      <c r="F199" s="9" t="s">
        <v>850</v>
      </c>
      <c r="G199" s="9" t="s">
        <v>851</v>
      </c>
      <c r="H199" s="9" t="s">
        <v>26</v>
      </c>
      <c r="I199" s="9" t="s">
        <v>27</v>
      </c>
      <c r="J199" s="9" t="s">
        <v>101</v>
      </c>
      <c r="K199" s="9" t="s">
        <v>29</v>
      </c>
      <c r="L199" s="9">
        <v>94122</v>
      </c>
      <c r="M199" s="9" t="s">
        <v>30</v>
      </c>
      <c r="N199" s="9" t="s">
        <v>852</v>
      </c>
      <c r="O199" s="9" t="s">
        <v>32</v>
      </c>
      <c r="P199" s="9" t="s">
        <v>53</v>
      </c>
      <c r="Q199" s="9" t="s">
        <v>853</v>
      </c>
      <c r="R199" s="9">
        <v>7.7120000000000006</v>
      </c>
      <c r="S199" s="9">
        <v>2</v>
      </c>
      <c r="T199" s="9">
        <v>0.2</v>
      </c>
      <c r="U199" s="9">
        <v>12.339200000000002</v>
      </c>
      <c r="V199" s="11">
        <v>2.7956000000000003</v>
      </c>
    </row>
    <row r="200" spans="1:22" ht="15.5" x14ac:dyDescent="0.35">
      <c r="A200" s="4">
        <v>340</v>
      </c>
      <c r="B200" s="5" t="s">
        <v>854</v>
      </c>
      <c r="C200" s="6">
        <v>43638</v>
      </c>
      <c r="D200" s="6">
        <v>43642</v>
      </c>
      <c r="E200" s="5" t="s">
        <v>23</v>
      </c>
      <c r="F200" s="5" t="s">
        <v>647</v>
      </c>
      <c r="G200" s="5" t="s">
        <v>648</v>
      </c>
      <c r="H200" s="5" t="s">
        <v>39</v>
      </c>
      <c r="I200" s="5" t="s">
        <v>27</v>
      </c>
      <c r="J200" s="5" t="s">
        <v>855</v>
      </c>
      <c r="K200" s="5" t="s">
        <v>95</v>
      </c>
      <c r="L200" s="5">
        <v>84041</v>
      </c>
      <c r="M200" s="5" t="s">
        <v>30</v>
      </c>
      <c r="N200" s="5" t="s">
        <v>856</v>
      </c>
      <c r="O200" s="5" t="s">
        <v>32</v>
      </c>
      <c r="P200" s="5" t="s">
        <v>189</v>
      </c>
      <c r="Q200" s="5" t="s">
        <v>857</v>
      </c>
      <c r="R200" s="5">
        <v>4.96</v>
      </c>
      <c r="S200" s="5">
        <v>4</v>
      </c>
      <c r="T200" s="5">
        <v>0</v>
      </c>
      <c r="U200" s="5">
        <v>19.84</v>
      </c>
      <c r="V200" s="7">
        <v>2.3311999999999999</v>
      </c>
    </row>
    <row r="201" spans="1:22" ht="15.5" x14ac:dyDescent="0.35">
      <c r="A201" s="8">
        <v>341</v>
      </c>
      <c r="B201" s="9" t="s">
        <v>858</v>
      </c>
      <c r="C201" s="10">
        <v>43203</v>
      </c>
      <c r="D201" s="10">
        <v>43207</v>
      </c>
      <c r="E201" s="9" t="s">
        <v>23</v>
      </c>
      <c r="F201" s="9" t="s">
        <v>767</v>
      </c>
      <c r="G201" s="9" t="s">
        <v>768</v>
      </c>
      <c r="H201" s="9" t="s">
        <v>26</v>
      </c>
      <c r="I201" s="9" t="s">
        <v>27</v>
      </c>
      <c r="J201" s="9" t="s">
        <v>123</v>
      </c>
      <c r="K201" s="9" t="s">
        <v>124</v>
      </c>
      <c r="L201" s="9">
        <v>19140</v>
      </c>
      <c r="M201" s="9" t="s">
        <v>125</v>
      </c>
      <c r="N201" s="9" t="s">
        <v>859</v>
      </c>
      <c r="O201" s="9" t="s">
        <v>32</v>
      </c>
      <c r="P201" s="9" t="s">
        <v>50</v>
      </c>
      <c r="Q201" s="9" t="s">
        <v>860</v>
      </c>
      <c r="R201" s="9">
        <v>17.856000000000002</v>
      </c>
      <c r="S201" s="9">
        <v>4</v>
      </c>
      <c r="T201" s="9">
        <v>0.2</v>
      </c>
      <c r="U201" s="9">
        <v>57.139200000000002</v>
      </c>
      <c r="V201" s="11">
        <v>1.1159999999999979</v>
      </c>
    </row>
    <row r="202" spans="1:22" ht="15.5" x14ac:dyDescent="0.35">
      <c r="A202" s="4">
        <v>342</v>
      </c>
      <c r="B202" s="5" t="s">
        <v>858</v>
      </c>
      <c r="C202" s="6">
        <v>43203</v>
      </c>
      <c r="D202" s="6">
        <v>43207</v>
      </c>
      <c r="E202" s="5" t="s">
        <v>23</v>
      </c>
      <c r="F202" s="5" t="s">
        <v>767</v>
      </c>
      <c r="G202" s="5" t="s">
        <v>768</v>
      </c>
      <c r="H202" s="5" t="s">
        <v>26</v>
      </c>
      <c r="I202" s="5" t="s">
        <v>27</v>
      </c>
      <c r="J202" s="5" t="s">
        <v>123</v>
      </c>
      <c r="K202" s="5" t="s">
        <v>124</v>
      </c>
      <c r="L202" s="5">
        <v>19140</v>
      </c>
      <c r="M202" s="5" t="s">
        <v>125</v>
      </c>
      <c r="N202" s="5" t="s">
        <v>71</v>
      </c>
      <c r="O202" s="5" t="s">
        <v>32</v>
      </c>
      <c r="P202" s="5" t="s">
        <v>53</v>
      </c>
      <c r="Q202" s="5" t="s">
        <v>72</v>
      </c>
      <c r="R202" s="5">
        <v>509.97000000000008</v>
      </c>
      <c r="S202" s="5">
        <v>10</v>
      </c>
      <c r="T202" s="5">
        <v>0.7</v>
      </c>
      <c r="U202" s="5">
        <v>1529.9100000000003</v>
      </c>
      <c r="V202" s="7">
        <v>-407.97599999999989</v>
      </c>
    </row>
    <row r="203" spans="1:22" ht="15.5" x14ac:dyDescent="0.35">
      <c r="A203" s="8">
        <v>343</v>
      </c>
      <c r="B203" s="9" t="s">
        <v>858</v>
      </c>
      <c r="C203" s="10">
        <v>43203</v>
      </c>
      <c r="D203" s="10">
        <v>43207</v>
      </c>
      <c r="E203" s="9" t="s">
        <v>23</v>
      </c>
      <c r="F203" s="9" t="s">
        <v>767</v>
      </c>
      <c r="G203" s="9" t="s">
        <v>768</v>
      </c>
      <c r="H203" s="9" t="s">
        <v>26</v>
      </c>
      <c r="I203" s="9" t="s">
        <v>27</v>
      </c>
      <c r="J203" s="9" t="s">
        <v>123</v>
      </c>
      <c r="K203" s="9" t="s">
        <v>124</v>
      </c>
      <c r="L203" s="9">
        <v>19140</v>
      </c>
      <c r="M203" s="9" t="s">
        <v>125</v>
      </c>
      <c r="N203" s="9" t="s">
        <v>397</v>
      </c>
      <c r="O203" s="9" t="s">
        <v>32</v>
      </c>
      <c r="P203" s="9" t="s">
        <v>189</v>
      </c>
      <c r="Q203" s="9" t="s">
        <v>398</v>
      </c>
      <c r="R203" s="9">
        <v>30.991999999999997</v>
      </c>
      <c r="S203" s="9">
        <v>13</v>
      </c>
      <c r="T203" s="9">
        <v>0.2</v>
      </c>
      <c r="U203" s="9">
        <v>322.31679999999994</v>
      </c>
      <c r="V203" s="11">
        <v>10.072399999999996</v>
      </c>
    </row>
    <row r="204" spans="1:22" ht="15.5" x14ac:dyDescent="0.35">
      <c r="A204" s="4">
        <v>345</v>
      </c>
      <c r="B204" s="5" t="s">
        <v>861</v>
      </c>
      <c r="C204" s="6">
        <v>43819</v>
      </c>
      <c r="D204" s="6">
        <v>43823</v>
      </c>
      <c r="E204" s="5" t="s">
        <v>36</v>
      </c>
      <c r="F204" s="5" t="s">
        <v>500</v>
      </c>
      <c r="G204" s="5" t="s">
        <v>501</v>
      </c>
      <c r="H204" s="5" t="s">
        <v>39</v>
      </c>
      <c r="I204" s="5" t="s">
        <v>27</v>
      </c>
      <c r="J204" s="5" t="s">
        <v>862</v>
      </c>
      <c r="K204" s="5" t="s">
        <v>78</v>
      </c>
      <c r="L204" s="5">
        <v>78745</v>
      </c>
      <c r="M204" s="5" t="s">
        <v>79</v>
      </c>
      <c r="N204" s="5" t="s">
        <v>96</v>
      </c>
      <c r="O204" s="5" t="s">
        <v>32</v>
      </c>
      <c r="P204" s="5" t="s">
        <v>44</v>
      </c>
      <c r="Q204" s="5" t="s">
        <v>97</v>
      </c>
      <c r="R204" s="5">
        <v>88.800000000000011</v>
      </c>
      <c r="S204" s="5">
        <v>4</v>
      </c>
      <c r="T204" s="5">
        <v>0.2</v>
      </c>
      <c r="U204" s="5">
        <v>284.16000000000003</v>
      </c>
      <c r="V204" s="7">
        <v>-2.2200000000000131</v>
      </c>
    </row>
    <row r="205" spans="1:22" ht="15.5" x14ac:dyDescent="0.35">
      <c r="A205" s="8">
        <v>347</v>
      </c>
      <c r="B205" s="9" t="s">
        <v>863</v>
      </c>
      <c r="C205" s="10">
        <v>44385</v>
      </c>
      <c r="D205" s="10">
        <v>44389</v>
      </c>
      <c r="E205" s="9" t="s">
        <v>36</v>
      </c>
      <c r="F205" s="9" t="s">
        <v>864</v>
      </c>
      <c r="G205" s="9" t="s">
        <v>865</v>
      </c>
      <c r="H205" s="9" t="s">
        <v>39</v>
      </c>
      <c r="I205" s="9" t="s">
        <v>27</v>
      </c>
      <c r="J205" s="9" t="s">
        <v>866</v>
      </c>
      <c r="K205" s="9" t="s">
        <v>867</v>
      </c>
      <c r="L205" s="9">
        <v>1852</v>
      </c>
      <c r="M205" s="9" t="s">
        <v>125</v>
      </c>
      <c r="N205" s="9" t="s">
        <v>562</v>
      </c>
      <c r="O205" s="9" t="s">
        <v>32</v>
      </c>
      <c r="P205" s="9" t="s">
        <v>50</v>
      </c>
      <c r="Q205" s="9" t="s">
        <v>563</v>
      </c>
      <c r="R205" s="9">
        <v>7.5600000000000005</v>
      </c>
      <c r="S205" s="9">
        <v>3</v>
      </c>
      <c r="T205" s="9">
        <v>0</v>
      </c>
      <c r="U205" s="9">
        <v>22.68</v>
      </c>
      <c r="V205" s="11">
        <v>3.0996000000000006</v>
      </c>
    </row>
    <row r="206" spans="1:22" ht="15.5" x14ac:dyDescent="0.35">
      <c r="A206" s="4">
        <v>348</v>
      </c>
      <c r="B206" s="5" t="s">
        <v>863</v>
      </c>
      <c r="C206" s="6">
        <v>44385</v>
      </c>
      <c r="D206" s="6">
        <v>44389</v>
      </c>
      <c r="E206" s="5" t="s">
        <v>36</v>
      </c>
      <c r="F206" s="5" t="s">
        <v>864</v>
      </c>
      <c r="G206" s="5" t="s">
        <v>865</v>
      </c>
      <c r="H206" s="5" t="s">
        <v>39</v>
      </c>
      <c r="I206" s="5" t="s">
        <v>27</v>
      </c>
      <c r="J206" s="5" t="s">
        <v>866</v>
      </c>
      <c r="K206" s="5" t="s">
        <v>867</v>
      </c>
      <c r="L206" s="5">
        <v>1852</v>
      </c>
      <c r="M206" s="5" t="s">
        <v>125</v>
      </c>
      <c r="N206" s="5" t="s">
        <v>141</v>
      </c>
      <c r="O206" s="5" t="s">
        <v>32</v>
      </c>
      <c r="P206" s="5" t="s">
        <v>64</v>
      </c>
      <c r="Q206" s="5" t="s">
        <v>142</v>
      </c>
      <c r="R206" s="5">
        <v>24.56</v>
      </c>
      <c r="S206" s="5">
        <v>2</v>
      </c>
      <c r="T206" s="5">
        <v>0</v>
      </c>
      <c r="U206" s="5">
        <v>49.12</v>
      </c>
      <c r="V206" s="7">
        <v>11.543199999999999</v>
      </c>
    </row>
    <row r="207" spans="1:22" ht="15.5" x14ac:dyDescent="0.35">
      <c r="A207" s="8">
        <v>349</v>
      </c>
      <c r="B207" s="9" t="s">
        <v>863</v>
      </c>
      <c r="C207" s="10">
        <v>44385</v>
      </c>
      <c r="D207" s="10">
        <v>44389</v>
      </c>
      <c r="E207" s="9" t="s">
        <v>36</v>
      </c>
      <c r="F207" s="9" t="s">
        <v>864</v>
      </c>
      <c r="G207" s="9" t="s">
        <v>865</v>
      </c>
      <c r="H207" s="9" t="s">
        <v>39</v>
      </c>
      <c r="I207" s="9" t="s">
        <v>27</v>
      </c>
      <c r="J207" s="9" t="s">
        <v>866</v>
      </c>
      <c r="K207" s="9" t="s">
        <v>867</v>
      </c>
      <c r="L207" s="9">
        <v>1852</v>
      </c>
      <c r="M207" s="9" t="s">
        <v>125</v>
      </c>
      <c r="N207" s="9" t="s">
        <v>868</v>
      </c>
      <c r="O207" s="9" t="s">
        <v>32</v>
      </c>
      <c r="P207" s="9" t="s">
        <v>50</v>
      </c>
      <c r="Q207" s="9" t="s">
        <v>869</v>
      </c>
      <c r="R207" s="9">
        <v>12.96</v>
      </c>
      <c r="S207" s="9">
        <v>2</v>
      </c>
      <c r="T207" s="9">
        <v>0</v>
      </c>
      <c r="U207" s="9">
        <v>25.92</v>
      </c>
      <c r="V207" s="11">
        <v>4.1471999999999998</v>
      </c>
    </row>
    <row r="208" spans="1:22" ht="15.5" x14ac:dyDescent="0.35">
      <c r="A208" s="4">
        <v>351</v>
      </c>
      <c r="B208" s="5" t="s">
        <v>870</v>
      </c>
      <c r="C208" s="6">
        <v>44075</v>
      </c>
      <c r="D208" s="6">
        <v>44077</v>
      </c>
      <c r="E208" s="5" t="s">
        <v>160</v>
      </c>
      <c r="F208" s="5" t="s">
        <v>871</v>
      </c>
      <c r="G208" s="5" t="s">
        <v>872</v>
      </c>
      <c r="H208" s="5" t="s">
        <v>76</v>
      </c>
      <c r="I208" s="5" t="s">
        <v>27</v>
      </c>
      <c r="J208" s="5" t="s">
        <v>186</v>
      </c>
      <c r="K208" s="5" t="s">
        <v>187</v>
      </c>
      <c r="L208" s="5">
        <v>10009</v>
      </c>
      <c r="M208" s="5" t="s">
        <v>125</v>
      </c>
      <c r="N208" s="5" t="s">
        <v>873</v>
      </c>
      <c r="O208" s="5" t="s">
        <v>32</v>
      </c>
      <c r="P208" s="5" t="s">
        <v>64</v>
      </c>
      <c r="Q208" s="5" t="s">
        <v>874</v>
      </c>
      <c r="R208" s="5">
        <v>24.56</v>
      </c>
      <c r="S208" s="5">
        <v>2</v>
      </c>
      <c r="T208" s="5">
        <v>0</v>
      </c>
      <c r="U208" s="5">
        <v>49.12</v>
      </c>
      <c r="V208" s="7">
        <v>11.543199999999999</v>
      </c>
    </row>
    <row r="209" spans="1:22" ht="15.5" x14ac:dyDescent="0.35">
      <c r="A209" s="8">
        <v>352</v>
      </c>
      <c r="B209" s="9" t="s">
        <v>870</v>
      </c>
      <c r="C209" s="10">
        <v>44075</v>
      </c>
      <c r="D209" s="10">
        <v>44077</v>
      </c>
      <c r="E209" s="9" t="s">
        <v>160</v>
      </c>
      <c r="F209" s="9" t="s">
        <v>871</v>
      </c>
      <c r="G209" s="9" t="s">
        <v>872</v>
      </c>
      <c r="H209" s="9" t="s">
        <v>76</v>
      </c>
      <c r="I209" s="9" t="s">
        <v>27</v>
      </c>
      <c r="J209" s="9" t="s">
        <v>186</v>
      </c>
      <c r="K209" s="9" t="s">
        <v>187</v>
      </c>
      <c r="L209" s="9">
        <v>10009</v>
      </c>
      <c r="M209" s="9" t="s">
        <v>125</v>
      </c>
      <c r="N209" s="9" t="s">
        <v>875</v>
      </c>
      <c r="O209" s="9" t="s">
        <v>32</v>
      </c>
      <c r="P209" s="9" t="s">
        <v>53</v>
      </c>
      <c r="Q209" s="9" t="s">
        <v>876</v>
      </c>
      <c r="R209" s="9">
        <v>3.048</v>
      </c>
      <c r="S209" s="9">
        <v>1</v>
      </c>
      <c r="T209" s="9">
        <v>0.2</v>
      </c>
      <c r="U209" s="9">
        <v>2.4384000000000001</v>
      </c>
      <c r="V209" s="11">
        <v>1.0668</v>
      </c>
    </row>
    <row r="210" spans="1:22" ht="15.5" x14ac:dyDescent="0.35">
      <c r="A210" s="4">
        <v>353</v>
      </c>
      <c r="B210" s="5" t="s">
        <v>870</v>
      </c>
      <c r="C210" s="6">
        <v>44075</v>
      </c>
      <c r="D210" s="6">
        <v>44077</v>
      </c>
      <c r="E210" s="5" t="s">
        <v>160</v>
      </c>
      <c r="F210" s="5" t="s">
        <v>871</v>
      </c>
      <c r="G210" s="5" t="s">
        <v>872</v>
      </c>
      <c r="H210" s="5" t="s">
        <v>76</v>
      </c>
      <c r="I210" s="5" t="s">
        <v>27</v>
      </c>
      <c r="J210" s="5" t="s">
        <v>186</v>
      </c>
      <c r="K210" s="5" t="s">
        <v>187</v>
      </c>
      <c r="L210" s="5">
        <v>10009</v>
      </c>
      <c r="M210" s="5" t="s">
        <v>125</v>
      </c>
      <c r="N210" s="5" t="s">
        <v>873</v>
      </c>
      <c r="O210" s="5" t="s">
        <v>32</v>
      </c>
      <c r="P210" s="5" t="s">
        <v>64</v>
      </c>
      <c r="Q210" s="5" t="s">
        <v>874</v>
      </c>
      <c r="R210" s="5">
        <v>49.12</v>
      </c>
      <c r="S210" s="5">
        <v>4</v>
      </c>
      <c r="T210" s="5">
        <v>0</v>
      </c>
      <c r="U210" s="5">
        <v>196.48</v>
      </c>
      <c r="V210" s="7">
        <v>23.086399999999998</v>
      </c>
    </row>
    <row r="211" spans="1:22" ht="15.5" x14ac:dyDescent="0.35">
      <c r="A211" s="8">
        <v>354</v>
      </c>
      <c r="B211" s="9" t="s">
        <v>870</v>
      </c>
      <c r="C211" s="10">
        <v>44075</v>
      </c>
      <c r="D211" s="10">
        <v>44077</v>
      </c>
      <c r="E211" s="9" t="s">
        <v>160</v>
      </c>
      <c r="F211" s="9" t="s">
        <v>871</v>
      </c>
      <c r="G211" s="9" t="s">
        <v>872</v>
      </c>
      <c r="H211" s="9" t="s">
        <v>76</v>
      </c>
      <c r="I211" s="9" t="s">
        <v>27</v>
      </c>
      <c r="J211" s="9" t="s">
        <v>186</v>
      </c>
      <c r="K211" s="9" t="s">
        <v>187</v>
      </c>
      <c r="L211" s="9">
        <v>10009</v>
      </c>
      <c r="M211" s="9" t="s">
        <v>125</v>
      </c>
      <c r="N211" s="9" t="s">
        <v>877</v>
      </c>
      <c r="O211" s="9" t="s">
        <v>32</v>
      </c>
      <c r="P211" s="9" t="s">
        <v>53</v>
      </c>
      <c r="Q211" s="9" t="s">
        <v>878</v>
      </c>
      <c r="R211" s="9">
        <v>4355.1680000000006</v>
      </c>
      <c r="S211" s="9">
        <v>4</v>
      </c>
      <c r="T211" s="9">
        <v>0.2</v>
      </c>
      <c r="U211" s="9">
        <v>13936.537600000001</v>
      </c>
      <c r="V211" s="11">
        <v>1415.4295999999997</v>
      </c>
    </row>
    <row r="212" spans="1:22" ht="15.5" x14ac:dyDescent="0.35">
      <c r="A212" s="4">
        <v>356</v>
      </c>
      <c r="B212" s="5" t="s">
        <v>879</v>
      </c>
      <c r="C212" s="6">
        <v>43929</v>
      </c>
      <c r="D212" s="6">
        <v>43934</v>
      </c>
      <c r="E212" s="5" t="s">
        <v>36</v>
      </c>
      <c r="F212" s="5" t="s">
        <v>880</v>
      </c>
      <c r="G212" s="5" t="s">
        <v>881</v>
      </c>
      <c r="H212" s="5" t="s">
        <v>39</v>
      </c>
      <c r="I212" s="5" t="s">
        <v>27</v>
      </c>
      <c r="J212" s="5" t="s">
        <v>186</v>
      </c>
      <c r="K212" s="5" t="s">
        <v>187</v>
      </c>
      <c r="L212" s="5">
        <v>10035</v>
      </c>
      <c r="M212" s="5" t="s">
        <v>125</v>
      </c>
      <c r="N212" s="5" t="s">
        <v>882</v>
      </c>
      <c r="O212" s="5" t="s">
        <v>32</v>
      </c>
      <c r="P212" s="5" t="s">
        <v>129</v>
      </c>
      <c r="Q212" s="5" t="s">
        <v>883</v>
      </c>
      <c r="R212" s="5">
        <v>8.26</v>
      </c>
      <c r="S212" s="5">
        <v>2</v>
      </c>
      <c r="T212" s="5">
        <v>0</v>
      </c>
      <c r="U212" s="5">
        <v>16.52</v>
      </c>
      <c r="V212" s="7">
        <v>3.7995999999999999</v>
      </c>
    </row>
    <row r="213" spans="1:22" ht="15.5" x14ac:dyDescent="0.35">
      <c r="A213" s="8">
        <v>357</v>
      </c>
      <c r="B213" s="9" t="s">
        <v>879</v>
      </c>
      <c r="C213" s="10">
        <v>43929</v>
      </c>
      <c r="D213" s="10">
        <v>43934</v>
      </c>
      <c r="E213" s="9" t="s">
        <v>36</v>
      </c>
      <c r="F213" s="9" t="s">
        <v>880</v>
      </c>
      <c r="G213" s="9" t="s">
        <v>881</v>
      </c>
      <c r="H213" s="9" t="s">
        <v>39</v>
      </c>
      <c r="I213" s="9" t="s">
        <v>27</v>
      </c>
      <c r="J213" s="9" t="s">
        <v>186</v>
      </c>
      <c r="K213" s="9" t="s">
        <v>187</v>
      </c>
      <c r="L213" s="9">
        <v>10035</v>
      </c>
      <c r="M213" s="9" t="s">
        <v>125</v>
      </c>
      <c r="N213" s="9" t="s">
        <v>884</v>
      </c>
      <c r="O213" s="9" t="s">
        <v>32</v>
      </c>
      <c r="P213" s="9" t="s">
        <v>50</v>
      </c>
      <c r="Q213" s="9" t="s">
        <v>885</v>
      </c>
      <c r="R213" s="9">
        <v>17.04</v>
      </c>
      <c r="S213" s="9">
        <v>4</v>
      </c>
      <c r="T213" s="9">
        <v>0</v>
      </c>
      <c r="U213" s="9">
        <v>68.16</v>
      </c>
      <c r="V213" s="11">
        <v>6.9863999999999997</v>
      </c>
    </row>
    <row r="214" spans="1:22" ht="15.5" x14ac:dyDescent="0.35">
      <c r="A214" s="4">
        <v>358</v>
      </c>
      <c r="B214" s="5" t="s">
        <v>879</v>
      </c>
      <c r="C214" s="6">
        <v>43929</v>
      </c>
      <c r="D214" s="6">
        <v>43934</v>
      </c>
      <c r="E214" s="5" t="s">
        <v>36</v>
      </c>
      <c r="F214" s="5" t="s">
        <v>880</v>
      </c>
      <c r="G214" s="5" t="s">
        <v>881</v>
      </c>
      <c r="H214" s="5" t="s">
        <v>39</v>
      </c>
      <c r="I214" s="5" t="s">
        <v>27</v>
      </c>
      <c r="J214" s="5" t="s">
        <v>186</v>
      </c>
      <c r="K214" s="5" t="s">
        <v>187</v>
      </c>
      <c r="L214" s="5">
        <v>10035</v>
      </c>
      <c r="M214" s="5" t="s">
        <v>125</v>
      </c>
      <c r="N214" s="5" t="s">
        <v>886</v>
      </c>
      <c r="O214" s="5" t="s">
        <v>32</v>
      </c>
      <c r="P214" s="5" t="s">
        <v>64</v>
      </c>
      <c r="Q214" s="5" t="s">
        <v>887</v>
      </c>
      <c r="R214" s="5">
        <v>34.4</v>
      </c>
      <c r="S214" s="5">
        <v>5</v>
      </c>
      <c r="T214" s="5">
        <v>0</v>
      </c>
      <c r="U214" s="5">
        <v>172</v>
      </c>
      <c r="V214" s="7">
        <v>15.823999999999998</v>
      </c>
    </row>
    <row r="215" spans="1:22" ht="15.5" x14ac:dyDescent="0.35">
      <c r="A215" s="8">
        <v>359</v>
      </c>
      <c r="B215" s="9" t="s">
        <v>888</v>
      </c>
      <c r="C215" s="10">
        <v>43944</v>
      </c>
      <c r="D215" s="10">
        <v>43949</v>
      </c>
      <c r="E215" s="9" t="s">
        <v>36</v>
      </c>
      <c r="F215" s="9" t="s">
        <v>889</v>
      </c>
      <c r="G215" s="9" t="s">
        <v>890</v>
      </c>
      <c r="H215" s="9" t="s">
        <v>26</v>
      </c>
      <c r="I215" s="9" t="s">
        <v>27</v>
      </c>
      <c r="J215" s="9" t="s">
        <v>344</v>
      </c>
      <c r="K215" s="9" t="s">
        <v>62</v>
      </c>
      <c r="L215" s="9">
        <v>28205</v>
      </c>
      <c r="M215" s="9" t="s">
        <v>42</v>
      </c>
      <c r="N215" s="9" t="s">
        <v>582</v>
      </c>
      <c r="O215" s="9" t="s">
        <v>32</v>
      </c>
      <c r="P215" s="9" t="s">
        <v>64</v>
      </c>
      <c r="Q215" s="9" t="s">
        <v>583</v>
      </c>
      <c r="R215" s="9">
        <v>36.240000000000009</v>
      </c>
      <c r="S215" s="9">
        <v>5</v>
      </c>
      <c r="T215" s="9">
        <v>0.2</v>
      </c>
      <c r="U215" s="9">
        <v>144.96000000000004</v>
      </c>
      <c r="V215" s="11">
        <v>11.324999999999996</v>
      </c>
    </row>
    <row r="216" spans="1:22" ht="15.5" x14ac:dyDescent="0.35">
      <c r="A216" s="4">
        <v>360</v>
      </c>
      <c r="B216" s="5" t="s">
        <v>891</v>
      </c>
      <c r="C216" s="6">
        <v>44263</v>
      </c>
      <c r="D216" s="6">
        <v>44266</v>
      </c>
      <c r="E216" s="5" t="s">
        <v>160</v>
      </c>
      <c r="F216" s="5" t="s">
        <v>892</v>
      </c>
      <c r="G216" s="5" t="s">
        <v>893</v>
      </c>
      <c r="H216" s="5" t="s">
        <v>26</v>
      </c>
      <c r="I216" s="5" t="s">
        <v>27</v>
      </c>
      <c r="J216" s="5" t="s">
        <v>359</v>
      </c>
      <c r="K216" s="5" t="s">
        <v>894</v>
      </c>
      <c r="L216" s="5">
        <v>31907</v>
      </c>
      <c r="M216" s="5" t="s">
        <v>42</v>
      </c>
      <c r="N216" s="5" t="s">
        <v>895</v>
      </c>
      <c r="O216" s="5" t="s">
        <v>32</v>
      </c>
      <c r="P216" s="5" t="s">
        <v>56</v>
      </c>
      <c r="Q216" s="5" t="s">
        <v>896</v>
      </c>
      <c r="R216" s="5">
        <v>647.84</v>
      </c>
      <c r="S216" s="5">
        <v>8</v>
      </c>
      <c r="T216" s="5">
        <v>0</v>
      </c>
      <c r="U216" s="5">
        <v>5182.72</v>
      </c>
      <c r="V216" s="7">
        <v>168.4384</v>
      </c>
    </row>
    <row r="217" spans="1:22" ht="15.5" x14ac:dyDescent="0.35">
      <c r="A217" s="8">
        <v>361</v>
      </c>
      <c r="B217" s="9" t="s">
        <v>891</v>
      </c>
      <c r="C217" s="10">
        <v>44263</v>
      </c>
      <c r="D217" s="10">
        <v>44266</v>
      </c>
      <c r="E217" s="9" t="s">
        <v>160</v>
      </c>
      <c r="F217" s="9" t="s">
        <v>892</v>
      </c>
      <c r="G217" s="9" t="s">
        <v>893</v>
      </c>
      <c r="H217" s="9" t="s">
        <v>26</v>
      </c>
      <c r="I217" s="9" t="s">
        <v>27</v>
      </c>
      <c r="J217" s="9" t="s">
        <v>359</v>
      </c>
      <c r="K217" s="9" t="s">
        <v>894</v>
      </c>
      <c r="L217" s="9">
        <v>31907</v>
      </c>
      <c r="M217" s="9" t="s">
        <v>42</v>
      </c>
      <c r="N217" s="9" t="s">
        <v>897</v>
      </c>
      <c r="O217" s="9" t="s">
        <v>32</v>
      </c>
      <c r="P217" s="9" t="s">
        <v>33</v>
      </c>
      <c r="Q217" s="9" t="s">
        <v>898</v>
      </c>
      <c r="R217" s="9">
        <v>20.7</v>
      </c>
      <c r="S217" s="9">
        <v>2</v>
      </c>
      <c r="T217" s="9">
        <v>0</v>
      </c>
      <c r="U217" s="9">
        <v>41.4</v>
      </c>
      <c r="V217" s="11">
        <v>9.9359999999999999</v>
      </c>
    </row>
    <row r="218" spans="1:22" ht="15.5" x14ac:dyDescent="0.35">
      <c r="A218" s="4">
        <v>362</v>
      </c>
      <c r="B218" s="5" t="s">
        <v>899</v>
      </c>
      <c r="C218" s="6">
        <v>44464</v>
      </c>
      <c r="D218" s="6">
        <v>44470</v>
      </c>
      <c r="E218" s="5" t="s">
        <v>36</v>
      </c>
      <c r="F218" s="5" t="s">
        <v>900</v>
      </c>
      <c r="G218" s="5" t="s">
        <v>901</v>
      </c>
      <c r="H218" s="5" t="s">
        <v>39</v>
      </c>
      <c r="I218" s="5" t="s">
        <v>27</v>
      </c>
      <c r="J218" s="5" t="s">
        <v>186</v>
      </c>
      <c r="K218" s="5" t="s">
        <v>187</v>
      </c>
      <c r="L218" s="5">
        <v>10009</v>
      </c>
      <c r="M218" s="5" t="s">
        <v>125</v>
      </c>
      <c r="N218" s="5" t="s">
        <v>897</v>
      </c>
      <c r="O218" s="5" t="s">
        <v>32</v>
      </c>
      <c r="P218" s="5" t="s">
        <v>33</v>
      </c>
      <c r="Q218" s="5" t="s">
        <v>898</v>
      </c>
      <c r="R218" s="5">
        <v>20.7</v>
      </c>
      <c r="S218" s="5">
        <v>2</v>
      </c>
      <c r="T218" s="5">
        <v>0</v>
      </c>
      <c r="U218" s="5">
        <v>41.4</v>
      </c>
      <c r="V218" s="7">
        <v>9.9359999999999999</v>
      </c>
    </row>
    <row r="219" spans="1:22" ht="15.5" x14ac:dyDescent="0.35">
      <c r="A219" s="8">
        <v>364</v>
      </c>
      <c r="B219" s="9" t="s">
        <v>899</v>
      </c>
      <c r="C219" s="10">
        <v>44464</v>
      </c>
      <c r="D219" s="10">
        <v>44470</v>
      </c>
      <c r="E219" s="9" t="s">
        <v>36</v>
      </c>
      <c r="F219" s="9" t="s">
        <v>900</v>
      </c>
      <c r="G219" s="9" t="s">
        <v>901</v>
      </c>
      <c r="H219" s="9" t="s">
        <v>39</v>
      </c>
      <c r="I219" s="9" t="s">
        <v>27</v>
      </c>
      <c r="J219" s="9" t="s">
        <v>186</v>
      </c>
      <c r="K219" s="9" t="s">
        <v>187</v>
      </c>
      <c r="L219" s="9">
        <v>10009</v>
      </c>
      <c r="M219" s="9" t="s">
        <v>125</v>
      </c>
      <c r="N219" s="9" t="s">
        <v>902</v>
      </c>
      <c r="O219" s="9" t="s">
        <v>32</v>
      </c>
      <c r="P219" s="9" t="s">
        <v>50</v>
      </c>
      <c r="Q219" s="9" t="s">
        <v>903</v>
      </c>
      <c r="R219" s="9">
        <v>5.56</v>
      </c>
      <c r="S219" s="9">
        <v>2</v>
      </c>
      <c r="T219" s="9">
        <v>0</v>
      </c>
      <c r="U219" s="9">
        <v>11.12</v>
      </c>
      <c r="V219" s="11">
        <v>1.4455999999999998</v>
      </c>
    </row>
    <row r="220" spans="1:22" ht="15.5" x14ac:dyDescent="0.35">
      <c r="A220" s="4">
        <v>366</v>
      </c>
      <c r="B220" s="5" t="s">
        <v>904</v>
      </c>
      <c r="C220" s="6">
        <v>43367</v>
      </c>
      <c r="D220" s="6">
        <v>43372</v>
      </c>
      <c r="E220" s="5" t="s">
        <v>36</v>
      </c>
      <c r="F220" s="5" t="s">
        <v>905</v>
      </c>
      <c r="G220" s="5" t="s">
        <v>906</v>
      </c>
      <c r="H220" s="5" t="s">
        <v>39</v>
      </c>
      <c r="I220" s="5" t="s">
        <v>27</v>
      </c>
      <c r="J220" s="5" t="s">
        <v>101</v>
      </c>
      <c r="K220" s="5" t="s">
        <v>29</v>
      </c>
      <c r="L220" s="5">
        <v>94109</v>
      </c>
      <c r="M220" s="5" t="s">
        <v>30</v>
      </c>
      <c r="N220" s="5" t="s">
        <v>172</v>
      </c>
      <c r="O220" s="5" t="s">
        <v>32</v>
      </c>
      <c r="P220" s="5" t="s">
        <v>44</v>
      </c>
      <c r="Q220" s="5" t="s">
        <v>173</v>
      </c>
      <c r="R220" s="5">
        <v>211.96</v>
      </c>
      <c r="S220" s="5">
        <v>4</v>
      </c>
      <c r="T220" s="5">
        <v>0</v>
      </c>
      <c r="U220" s="5">
        <v>847.84</v>
      </c>
      <c r="V220" s="7">
        <v>8.4783999999999935</v>
      </c>
    </row>
    <row r="221" spans="1:22" ht="15.5" x14ac:dyDescent="0.35">
      <c r="A221" s="8">
        <v>367</v>
      </c>
      <c r="B221" s="9" t="s">
        <v>907</v>
      </c>
      <c r="C221" s="10">
        <v>44125</v>
      </c>
      <c r="D221" s="10">
        <v>44125</v>
      </c>
      <c r="E221" s="9" t="s">
        <v>908</v>
      </c>
      <c r="F221" s="9" t="s">
        <v>909</v>
      </c>
      <c r="G221" s="9" t="s">
        <v>910</v>
      </c>
      <c r="H221" s="9" t="s">
        <v>26</v>
      </c>
      <c r="I221" s="9" t="s">
        <v>27</v>
      </c>
      <c r="J221" s="9" t="s">
        <v>911</v>
      </c>
      <c r="K221" s="9" t="s">
        <v>536</v>
      </c>
      <c r="L221" s="9">
        <v>6040</v>
      </c>
      <c r="M221" s="9" t="s">
        <v>125</v>
      </c>
      <c r="N221" s="9" t="s">
        <v>912</v>
      </c>
      <c r="O221" s="9" t="s">
        <v>32</v>
      </c>
      <c r="P221" s="9" t="s">
        <v>53</v>
      </c>
      <c r="Q221" s="9" t="s">
        <v>913</v>
      </c>
      <c r="R221" s="9">
        <v>23.2</v>
      </c>
      <c r="S221" s="9">
        <v>4</v>
      </c>
      <c r="T221" s="9">
        <v>0</v>
      </c>
      <c r="U221" s="9">
        <v>92.8</v>
      </c>
      <c r="V221" s="11">
        <v>10.44</v>
      </c>
    </row>
    <row r="222" spans="1:22" ht="15.5" x14ac:dyDescent="0.35">
      <c r="A222" s="4">
        <v>368</v>
      </c>
      <c r="B222" s="5" t="s">
        <v>907</v>
      </c>
      <c r="C222" s="6">
        <v>44125</v>
      </c>
      <c r="D222" s="6">
        <v>44125</v>
      </c>
      <c r="E222" s="5" t="s">
        <v>908</v>
      </c>
      <c r="F222" s="5" t="s">
        <v>909</v>
      </c>
      <c r="G222" s="5" t="s">
        <v>910</v>
      </c>
      <c r="H222" s="5" t="s">
        <v>26</v>
      </c>
      <c r="I222" s="5" t="s">
        <v>27</v>
      </c>
      <c r="J222" s="5" t="s">
        <v>911</v>
      </c>
      <c r="K222" s="5" t="s">
        <v>536</v>
      </c>
      <c r="L222" s="5">
        <v>6040</v>
      </c>
      <c r="M222" s="5" t="s">
        <v>125</v>
      </c>
      <c r="N222" s="5" t="s">
        <v>914</v>
      </c>
      <c r="O222" s="5" t="s">
        <v>32</v>
      </c>
      <c r="P222" s="5" t="s">
        <v>414</v>
      </c>
      <c r="Q222" s="5" t="s">
        <v>915</v>
      </c>
      <c r="R222" s="5">
        <v>7.36</v>
      </c>
      <c r="S222" s="5">
        <v>2</v>
      </c>
      <c r="T222" s="5">
        <v>0</v>
      </c>
      <c r="U222" s="5">
        <v>14.72</v>
      </c>
      <c r="V222" s="7">
        <v>0.14719999999999978</v>
      </c>
    </row>
    <row r="223" spans="1:22" ht="15.5" x14ac:dyDescent="0.35">
      <c r="A223" s="8">
        <v>369</v>
      </c>
      <c r="B223" s="9" t="s">
        <v>907</v>
      </c>
      <c r="C223" s="10">
        <v>44125</v>
      </c>
      <c r="D223" s="10">
        <v>44125</v>
      </c>
      <c r="E223" s="9" t="s">
        <v>908</v>
      </c>
      <c r="F223" s="9" t="s">
        <v>909</v>
      </c>
      <c r="G223" s="9" t="s">
        <v>910</v>
      </c>
      <c r="H223" s="9" t="s">
        <v>26</v>
      </c>
      <c r="I223" s="9" t="s">
        <v>27</v>
      </c>
      <c r="J223" s="9" t="s">
        <v>911</v>
      </c>
      <c r="K223" s="9" t="s">
        <v>536</v>
      </c>
      <c r="L223" s="9">
        <v>6040</v>
      </c>
      <c r="M223" s="9" t="s">
        <v>125</v>
      </c>
      <c r="N223" s="9" t="s">
        <v>916</v>
      </c>
      <c r="O223" s="9" t="s">
        <v>32</v>
      </c>
      <c r="P223" s="9" t="s">
        <v>44</v>
      </c>
      <c r="Q223" s="9" t="s">
        <v>917</v>
      </c>
      <c r="R223" s="9">
        <v>104.79</v>
      </c>
      <c r="S223" s="9">
        <v>7</v>
      </c>
      <c r="T223" s="9">
        <v>0</v>
      </c>
      <c r="U223" s="9">
        <v>733.53000000000009</v>
      </c>
      <c r="V223" s="11">
        <v>29.341200000000008</v>
      </c>
    </row>
    <row r="224" spans="1:22" ht="15.5" x14ac:dyDescent="0.35">
      <c r="A224" s="4">
        <v>371</v>
      </c>
      <c r="B224" s="5" t="s">
        <v>918</v>
      </c>
      <c r="C224" s="6">
        <v>44345</v>
      </c>
      <c r="D224" s="6">
        <v>44351</v>
      </c>
      <c r="E224" s="5" t="s">
        <v>36</v>
      </c>
      <c r="F224" s="5" t="s">
        <v>919</v>
      </c>
      <c r="G224" s="5" t="s">
        <v>920</v>
      </c>
      <c r="H224" s="5" t="s">
        <v>39</v>
      </c>
      <c r="I224" s="5" t="s">
        <v>27</v>
      </c>
      <c r="J224" s="5" t="s">
        <v>921</v>
      </c>
      <c r="K224" s="5" t="s">
        <v>78</v>
      </c>
      <c r="L224" s="5">
        <v>78550</v>
      </c>
      <c r="M224" s="5" t="s">
        <v>79</v>
      </c>
      <c r="N224" s="5" t="s">
        <v>922</v>
      </c>
      <c r="O224" s="5" t="s">
        <v>32</v>
      </c>
      <c r="P224" s="5" t="s">
        <v>64</v>
      </c>
      <c r="Q224" s="5" t="s">
        <v>923</v>
      </c>
      <c r="R224" s="5">
        <v>25.920000000000005</v>
      </c>
      <c r="S224" s="5">
        <v>5</v>
      </c>
      <c r="T224" s="5">
        <v>0.2</v>
      </c>
      <c r="U224" s="5">
        <v>103.68000000000002</v>
      </c>
      <c r="V224" s="7">
        <v>9.3960000000000008</v>
      </c>
    </row>
    <row r="225" spans="1:22" ht="15.5" x14ac:dyDescent="0.35">
      <c r="A225" s="8">
        <v>372</v>
      </c>
      <c r="B225" s="9" t="s">
        <v>918</v>
      </c>
      <c r="C225" s="10">
        <v>44345</v>
      </c>
      <c r="D225" s="10">
        <v>44351</v>
      </c>
      <c r="E225" s="9" t="s">
        <v>36</v>
      </c>
      <c r="F225" s="9" t="s">
        <v>919</v>
      </c>
      <c r="G225" s="9" t="s">
        <v>920</v>
      </c>
      <c r="H225" s="9" t="s">
        <v>39</v>
      </c>
      <c r="I225" s="9" t="s">
        <v>27</v>
      </c>
      <c r="J225" s="9" t="s">
        <v>921</v>
      </c>
      <c r="K225" s="9" t="s">
        <v>78</v>
      </c>
      <c r="L225" s="9">
        <v>78550</v>
      </c>
      <c r="M225" s="9" t="s">
        <v>79</v>
      </c>
      <c r="N225" s="9" t="s">
        <v>924</v>
      </c>
      <c r="O225" s="9" t="s">
        <v>32</v>
      </c>
      <c r="P225" s="9" t="s">
        <v>44</v>
      </c>
      <c r="Q225" s="9" t="s">
        <v>925</v>
      </c>
      <c r="R225" s="9">
        <v>53.424000000000007</v>
      </c>
      <c r="S225" s="9">
        <v>3</v>
      </c>
      <c r="T225" s="9">
        <v>0.2</v>
      </c>
      <c r="U225" s="9">
        <v>128.2176</v>
      </c>
      <c r="V225" s="11">
        <v>4.6746000000000016</v>
      </c>
    </row>
    <row r="226" spans="1:22" ht="15.5" x14ac:dyDescent="0.35">
      <c r="A226" s="4">
        <v>373</v>
      </c>
      <c r="B226" s="5" t="s">
        <v>926</v>
      </c>
      <c r="C226" s="6">
        <v>43304</v>
      </c>
      <c r="D226" s="6">
        <v>43308</v>
      </c>
      <c r="E226" s="5" t="s">
        <v>36</v>
      </c>
      <c r="F226" s="5" t="s">
        <v>927</v>
      </c>
      <c r="G226" s="5" t="s">
        <v>928</v>
      </c>
      <c r="H226" s="5" t="s">
        <v>39</v>
      </c>
      <c r="I226" s="5" t="s">
        <v>27</v>
      </c>
      <c r="J226" s="5" t="s">
        <v>929</v>
      </c>
      <c r="K226" s="5" t="s">
        <v>216</v>
      </c>
      <c r="L226" s="5">
        <v>85705</v>
      </c>
      <c r="M226" s="5" t="s">
        <v>30</v>
      </c>
      <c r="N226" s="5" t="s">
        <v>840</v>
      </c>
      <c r="O226" s="5" t="s">
        <v>32</v>
      </c>
      <c r="P226" s="5" t="s">
        <v>53</v>
      </c>
      <c r="Q226" s="5" t="s">
        <v>841</v>
      </c>
      <c r="R226" s="5">
        <v>8.1600000000000019</v>
      </c>
      <c r="S226" s="5">
        <v>5</v>
      </c>
      <c r="T226" s="5">
        <v>0.7</v>
      </c>
      <c r="U226" s="5">
        <v>12.240000000000006</v>
      </c>
      <c r="V226" s="7">
        <v>-5.7119999999999997</v>
      </c>
    </row>
    <row r="227" spans="1:22" ht="15.5" x14ac:dyDescent="0.35">
      <c r="A227" s="8">
        <v>375</v>
      </c>
      <c r="B227" s="9" t="s">
        <v>926</v>
      </c>
      <c r="C227" s="10">
        <v>43304</v>
      </c>
      <c r="D227" s="10">
        <v>43308</v>
      </c>
      <c r="E227" s="9" t="s">
        <v>36</v>
      </c>
      <c r="F227" s="9" t="s">
        <v>927</v>
      </c>
      <c r="G227" s="9" t="s">
        <v>928</v>
      </c>
      <c r="H227" s="9" t="s">
        <v>39</v>
      </c>
      <c r="I227" s="9" t="s">
        <v>27</v>
      </c>
      <c r="J227" s="9" t="s">
        <v>929</v>
      </c>
      <c r="K227" s="9" t="s">
        <v>216</v>
      </c>
      <c r="L227" s="9">
        <v>85705</v>
      </c>
      <c r="M227" s="9" t="s">
        <v>30</v>
      </c>
      <c r="N227" s="9" t="s">
        <v>930</v>
      </c>
      <c r="O227" s="9" t="s">
        <v>32</v>
      </c>
      <c r="P227" s="9" t="s">
        <v>50</v>
      </c>
      <c r="Q227" s="9" t="s">
        <v>931</v>
      </c>
      <c r="R227" s="9">
        <v>9.24</v>
      </c>
      <c r="S227" s="9">
        <v>1</v>
      </c>
      <c r="T227" s="9">
        <v>0.2</v>
      </c>
      <c r="U227" s="9">
        <v>7.3920000000000003</v>
      </c>
      <c r="V227" s="11">
        <v>0.92399999999999993</v>
      </c>
    </row>
    <row r="228" spans="1:22" ht="15.5" x14ac:dyDescent="0.35">
      <c r="A228" s="4">
        <v>377</v>
      </c>
      <c r="B228" s="5" t="s">
        <v>932</v>
      </c>
      <c r="C228" s="6">
        <v>44102</v>
      </c>
      <c r="D228" s="6">
        <v>44105</v>
      </c>
      <c r="E228" s="5" t="s">
        <v>160</v>
      </c>
      <c r="F228" s="5" t="s">
        <v>933</v>
      </c>
      <c r="G228" s="5" t="s">
        <v>934</v>
      </c>
      <c r="H228" s="5" t="s">
        <v>26</v>
      </c>
      <c r="I228" s="5" t="s">
        <v>27</v>
      </c>
      <c r="J228" s="5" t="s">
        <v>935</v>
      </c>
      <c r="K228" s="5" t="s">
        <v>275</v>
      </c>
      <c r="L228" s="5">
        <v>62301</v>
      </c>
      <c r="M228" s="5" t="s">
        <v>79</v>
      </c>
      <c r="N228" s="5" t="s">
        <v>936</v>
      </c>
      <c r="O228" s="5" t="s">
        <v>32</v>
      </c>
      <c r="P228" s="5" t="s">
        <v>64</v>
      </c>
      <c r="Q228" s="5" t="s">
        <v>937</v>
      </c>
      <c r="R228" s="5">
        <v>99.13600000000001</v>
      </c>
      <c r="S228" s="5">
        <v>4</v>
      </c>
      <c r="T228" s="5">
        <v>0.2</v>
      </c>
      <c r="U228" s="5">
        <v>317.23520000000002</v>
      </c>
      <c r="V228" s="7">
        <v>30.979999999999993</v>
      </c>
    </row>
    <row r="229" spans="1:22" ht="15.5" x14ac:dyDescent="0.35">
      <c r="A229" s="8">
        <v>379</v>
      </c>
      <c r="B229" s="9" t="s">
        <v>938</v>
      </c>
      <c r="C229" s="10">
        <v>43583</v>
      </c>
      <c r="D229" s="10">
        <v>43590</v>
      </c>
      <c r="E229" s="9" t="s">
        <v>36</v>
      </c>
      <c r="F229" s="9" t="s">
        <v>939</v>
      </c>
      <c r="G229" s="9" t="s">
        <v>940</v>
      </c>
      <c r="H229" s="9" t="s">
        <v>39</v>
      </c>
      <c r="I229" s="9" t="s">
        <v>27</v>
      </c>
      <c r="J229" s="9" t="s">
        <v>140</v>
      </c>
      <c r="K229" s="9" t="s">
        <v>78</v>
      </c>
      <c r="L229" s="9">
        <v>77095</v>
      </c>
      <c r="M229" s="9" t="s">
        <v>79</v>
      </c>
      <c r="N229" s="9" t="s">
        <v>941</v>
      </c>
      <c r="O229" s="9" t="s">
        <v>32</v>
      </c>
      <c r="P229" s="9" t="s">
        <v>56</v>
      </c>
      <c r="Q229" s="9" t="s">
        <v>942</v>
      </c>
      <c r="R229" s="9">
        <v>8.6519999999999975</v>
      </c>
      <c r="S229" s="9">
        <v>3</v>
      </c>
      <c r="T229" s="9">
        <v>0.8</v>
      </c>
      <c r="U229" s="9">
        <v>5.1911999999999985</v>
      </c>
      <c r="V229" s="11">
        <v>-20.332200000000007</v>
      </c>
    </row>
    <row r="230" spans="1:22" ht="15.5" x14ac:dyDescent="0.35">
      <c r="A230" s="4">
        <v>380</v>
      </c>
      <c r="B230" s="5" t="s">
        <v>938</v>
      </c>
      <c r="C230" s="6">
        <v>43583</v>
      </c>
      <c r="D230" s="6">
        <v>43590</v>
      </c>
      <c r="E230" s="5" t="s">
        <v>36</v>
      </c>
      <c r="F230" s="5" t="s">
        <v>939</v>
      </c>
      <c r="G230" s="5" t="s">
        <v>940</v>
      </c>
      <c r="H230" s="5" t="s">
        <v>39</v>
      </c>
      <c r="I230" s="5" t="s">
        <v>27</v>
      </c>
      <c r="J230" s="5" t="s">
        <v>140</v>
      </c>
      <c r="K230" s="5" t="s">
        <v>78</v>
      </c>
      <c r="L230" s="5">
        <v>77095</v>
      </c>
      <c r="M230" s="5" t="s">
        <v>79</v>
      </c>
      <c r="N230" s="5" t="s">
        <v>943</v>
      </c>
      <c r="O230" s="5" t="s">
        <v>32</v>
      </c>
      <c r="P230" s="5" t="s">
        <v>44</v>
      </c>
      <c r="Q230" s="5" t="s">
        <v>944</v>
      </c>
      <c r="R230" s="5">
        <v>23.832000000000001</v>
      </c>
      <c r="S230" s="5">
        <v>3</v>
      </c>
      <c r="T230" s="5">
        <v>0.2</v>
      </c>
      <c r="U230" s="5">
        <v>57.19680000000001</v>
      </c>
      <c r="V230" s="7">
        <v>2.6810999999999954</v>
      </c>
    </row>
    <row r="231" spans="1:22" ht="15.5" x14ac:dyDescent="0.35">
      <c r="A231" s="8">
        <v>381</v>
      </c>
      <c r="B231" s="9" t="s">
        <v>938</v>
      </c>
      <c r="C231" s="10">
        <v>43583</v>
      </c>
      <c r="D231" s="10">
        <v>43590</v>
      </c>
      <c r="E231" s="9" t="s">
        <v>36</v>
      </c>
      <c r="F231" s="9" t="s">
        <v>939</v>
      </c>
      <c r="G231" s="9" t="s">
        <v>940</v>
      </c>
      <c r="H231" s="9" t="s">
        <v>39</v>
      </c>
      <c r="I231" s="9" t="s">
        <v>27</v>
      </c>
      <c r="J231" s="9" t="s">
        <v>140</v>
      </c>
      <c r="K231" s="9" t="s">
        <v>78</v>
      </c>
      <c r="L231" s="9">
        <v>77095</v>
      </c>
      <c r="M231" s="9" t="s">
        <v>79</v>
      </c>
      <c r="N231" s="9" t="s">
        <v>945</v>
      </c>
      <c r="O231" s="9" t="s">
        <v>32</v>
      </c>
      <c r="P231" s="9" t="s">
        <v>53</v>
      </c>
      <c r="Q231" s="9" t="s">
        <v>946</v>
      </c>
      <c r="R231" s="9">
        <v>12.175999999999998</v>
      </c>
      <c r="S231" s="9">
        <v>4</v>
      </c>
      <c r="T231" s="9">
        <v>0.8</v>
      </c>
      <c r="U231" s="9">
        <v>9.740799999999993</v>
      </c>
      <c r="V231" s="11">
        <v>-18.872800000000009</v>
      </c>
    </row>
    <row r="232" spans="1:22" ht="15.5" x14ac:dyDescent="0.35">
      <c r="A232" s="4">
        <v>382</v>
      </c>
      <c r="B232" s="5" t="s">
        <v>947</v>
      </c>
      <c r="C232" s="6">
        <v>44132</v>
      </c>
      <c r="D232" s="6">
        <v>44133</v>
      </c>
      <c r="E232" s="5" t="s">
        <v>160</v>
      </c>
      <c r="F232" s="5" t="s">
        <v>948</v>
      </c>
      <c r="G232" s="5" t="s">
        <v>949</v>
      </c>
      <c r="H232" s="5" t="s">
        <v>26</v>
      </c>
      <c r="I232" s="5" t="s">
        <v>27</v>
      </c>
      <c r="J232" s="5" t="s">
        <v>101</v>
      </c>
      <c r="K232" s="5" t="s">
        <v>29</v>
      </c>
      <c r="L232" s="5">
        <v>94109</v>
      </c>
      <c r="M232" s="5" t="s">
        <v>30</v>
      </c>
      <c r="N232" s="5" t="s">
        <v>950</v>
      </c>
      <c r="O232" s="5" t="s">
        <v>32</v>
      </c>
      <c r="P232" s="5" t="s">
        <v>64</v>
      </c>
      <c r="Q232" s="5" t="s">
        <v>951</v>
      </c>
      <c r="R232" s="5">
        <v>50.96</v>
      </c>
      <c r="S232" s="5">
        <v>7</v>
      </c>
      <c r="T232" s="5">
        <v>0</v>
      </c>
      <c r="U232" s="5">
        <v>356.72</v>
      </c>
      <c r="V232" s="7">
        <v>25.48</v>
      </c>
    </row>
    <row r="233" spans="1:22" ht="15.5" x14ac:dyDescent="0.35">
      <c r="A233" s="8">
        <v>383</v>
      </c>
      <c r="B233" s="9" t="s">
        <v>947</v>
      </c>
      <c r="C233" s="10">
        <v>44132</v>
      </c>
      <c r="D233" s="10">
        <v>44133</v>
      </c>
      <c r="E233" s="9" t="s">
        <v>160</v>
      </c>
      <c r="F233" s="9" t="s">
        <v>948</v>
      </c>
      <c r="G233" s="9" t="s">
        <v>949</v>
      </c>
      <c r="H233" s="9" t="s">
        <v>26</v>
      </c>
      <c r="I233" s="9" t="s">
        <v>27</v>
      </c>
      <c r="J233" s="9" t="s">
        <v>101</v>
      </c>
      <c r="K233" s="9" t="s">
        <v>29</v>
      </c>
      <c r="L233" s="9">
        <v>94109</v>
      </c>
      <c r="M233" s="9" t="s">
        <v>30</v>
      </c>
      <c r="N233" s="9" t="s">
        <v>952</v>
      </c>
      <c r="O233" s="9" t="s">
        <v>32</v>
      </c>
      <c r="P233" s="9" t="s">
        <v>53</v>
      </c>
      <c r="Q233" s="9" t="s">
        <v>953</v>
      </c>
      <c r="R233" s="9">
        <v>49.536000000000001</v>
      </c>
      <c r="S233" s="9">
        <v>3</v>
      </c>
      <c r="T233" s="9">
        <v>0.2</v>
      </c>
      <c r="U233" s="9">
        <v>118.88640000000001</v>
      </c>
      <c r="V233" s="11">
        <v>17.337599999999998</v>
      </c>
    </row>
    <row r="234" spans="1:22" ht="15.5" x14ac:dyDescent="0.35">
      <c r="A234" s="4">
        <v>389</v>
      </c>
      <c r="B234" s="5" t="s">
        <v>954</v>
      </c>
      <c r="C234" s="6">
        <v>43428</v>
      </c>
      <c r="D234" s="6">
        <v>43430</v>
      </c>
      <c r="E234" s="5" t="s">
        <v>160</v>
      </c>
      <c r="F234" s="5" t="s">
        <v>955</v>
      </c>
      <c r="G234" s="5" t="s">
        <v>956</v>
      </c>
      <c r="H234" s="5" t="s">
        <v>39</v>
      </c>
      <c r="I234" s="5" t="s">
        <v>27</v>
      </c>
      <c r="J234" s="5" t="s">
        <v>704</v>
      </c>
      <c r="K234" s="5" t="s">
        <v>360</v>
      </c>
      <c r="L234" s="5">
        <v>45231</v>
      </c>
      <c r="M234" s="5" t="s">
        <v>125</v>
      </c>
      <c r="N234" s="5" t="s">
        <v>957</v>
      </c>
      <c r="O234" s="5" t="s">
        <v>32</v>
      </c>
      <c r="P234" s="5" t="s">
        <v>50</v>
      </c>
      <c r="Q234" s="5" t="s">
        <v>958</v>
      </c>
      <c r="R234" s="5">
        <v>2.6240000000000001</v>
      </c>
      <c r="S234" s="5">
        <v>1</v>
      </c>
      <c r="T234" s="5">
        <v>0.2</v>
      </c>
      <c r="U234" s="5">
        <v>2.0992000000000002</v>
      </c>
      <c r="V234" s="7">
        <v>0.42639999999999978</v>
      </c>
    </row>
    <row r="235" spans="1:22" ht="15.5" x14ac:dyDescent="0.35">
      <c r="A235" s="8">
        <v>390</v>
      </c>
      <c r="B235" s="9" t="s">
        <v>959</v>
      </c>
      <c r="C235" s="10">
        <v>44541</v>
      </c>
      <c r="D235" s="10">
        <v>44545</v>
      </c>
      <c r="E235" s="9" t="s">
        <v>36</v>
      </c>
      <c r="F235" s="9" t="s">
        <v>960</v>
      </c>
      <c r="G235" s="9" t="s">
        <v>961</v>
      </c>
      <c r="H235" s="9" t="s">
        <v>39</v>
      </c>
      <c r="I235" s="9" t="s">
        <v>27</v>
      </c>
      <c r="J235" s="9" t="s">
        <v>186</v>
      </c>
      <c r="K235" s="9" t="s">
        <v>187</v>
      </c>
      <c r="L235" s="9">
        <v>10009</v>
      </c>
      <c r="M235" s="9" t="s">
        <v>125</v>
      </c>
      <c r="N235" s="9" t="s">
        <v>962</v>
      </c>
      <c r="O235" s="9" t="s">
        <v>32</v>
      </c>
      <c r="P235" s="9" t="s">
        <v>53</v>
      </c>
      <c r="Q235" s="9" t="s">
        <v>963</v>
      </c>
      <c r="R235" s="9">
        <v>23.36</v>
      </c>
      <c r="S235" s="9">
        <v>4</v>
      </c>
      <c r="T235" s="9">
        <v>0.2</v>
      </c>
      <c r="U235" s="9">
        <v>74.751999999999995</v>
      </c>
      <c r="V235" s="11">
        <v>7.8839999999999986</v>
      </c>
    </row>
    <row r="236" spans="1:22" ht="15.5" x14ac:dyDescent="0.35">
      <c r="A236" s="4">
        <v>394</v>
      </c>
      <c r="B236" s="5" t="s">
        <v>964</v>
      </c>
      <c r="C236" s="6">
        <v>43258</v>
      </c>
      <c r="D236" s="6">
        <v>43261</v>
      </c>
      <c r="E236" s="5" t="s">
        <v>23</v>
      </c>
      <c r="F236" s="5" t="s">
        <v>965</v>
      </c>
      <c r="G236" s="5" t="s">
        <v>966</v>
      </c>
      <c r="H236" s="5" t="s">
        <v>26</v>
      </c>
      <c r="I236" s="5" t="s">
        <v>27</v>
      </c>
      <c r="J236" s="5" t="s">
        <v>967</v>
      </c>
      <c r="K236" s="5" t="s">
        <v>275</v>
      </c>
      <c r="L236" s="5">
        <v>61604</v>
      </c>
      <c r="M236" s="5" t="s">
        <v>79</v>
      </c>
      <c r="N236" s="5" t="s">
        <v>968</v>
      </c>
      <c r="O236" s="5" t="s">
        <v>32</v>
      </c>
      <c r="P236" s="5" t="s">
        <v>53</v>
      </c>
      <c r="Q236" s="5" t="s">
        <v>969</v>
      </c>
      <c r="R236" s="5">
        <v>12.461999999999996</v>
      </c>
      <c r="S236" s="5">
        <v>3</v>
      </c>
      <c r="T236" s="5">
        <v>0.8</v>
      </c>
      <c r="U236" s="5">
        <v>7.4771999999999963</v>
      </c>
      <c r="V236" s="7">
        <v>-20.5623</v>
      </c>
    </row>
    <row r="237" spans="1:22" ht="15.5" x14ac:dyDescent="0.35">
      <c r="A237" s="8">
        <v>395</v>
      </c>
      <c r="B237" s="9" t="s">
        <v>970</v>
      </c>
      <c r="C237" s="10">
        <v>44377</v>
      </c>
      <c r="D237" s="10">
        <v>44382</v>
      </c>
      <c r="E237" s="9" t="s">
        <v>36</v>
      </c>
      <c r="F237" s="9" t="s">
        <v>971</v>
      </c>
      <c r="G237" s="9" t="s">
        <v>972</v>
      </c>
      <c r="H237" s="9" t="s">
        <v>76</v>
      </c>
      <c r="I237" s="9" t="s">
        <v>27</v>
      </c>
      <c r="J237" s="9" t="s">
        <v>973</v>
      </c>
      <c r="K237" s="9" t="s">
        <v>974</v>
      </c>
      <c r="L237" s="9">
        <v>89115</v>
      </c>
      <c r="M237" s="9" t="s">
        <v>30</v>
      </c>
      <c r="N237" s="9" t="s">
        <v>975</v>
      </c>
      <c r="O237" s="9" t="s">
        <v>32</v>
      </c>
      <c r="P237" s="9" t="s">
        <v>53</v>
      </c>
      <c r="Q237" s="9" t="s">
        <v>976</v>
      </c>
      <c r="R237" s="9">
        <v>75.792000000000002</v>
      </c>
      <c r="S237" s="9">
        <v>3</v>
      </c>
      <c r="T237" s="9">
        <v>0.2</v>
      </c>
      <c r="U237" s="9">
        <v>181.9008</v>
      </c>
      <c r="V237" s="11">
        <v>25.579799999999992</v>
      </c>
    </row>
    <row r="238" spans="1:22" ht="15.5" x14ac:dyDescent="0.35">
      <c r="A238" s="4">
        <v>396</v>
      </c>
      <c r="B238" s="5" t="s">
        <v>977</v>
      </c>
      <c r="C238" s="6">
        <v>44486</v>
      </c>
      <c r="D238" s="6">
        <v>44488</v>
      </c>
      <c r="E238" s="5" t="s">
        <v>23</v>
      </c>
      <c r="F238" s="5" t="s">
        <v>978</v>
      </c>
      <c r="G238" s="5" t="s">
        <v>979</v>
      </c>
      <c r="H238" s="5" t="s">
        <v>26</v>
      </c>
      <c r="I238" s="5" t="s">
        <v>27</v>
      </c>
      <c r="J238" s="5" t="s">
        <v>980</v>
      </c>
      <c r="K238" s="5" t="s">
        <v>981</v>
      </c>
      <c r="L238" s="5">
        <v>2886</v>
      </c>
      <c r="M238" s="5" t="s">
        <v>125</v>
      </c>
      <c r="N238" s="5" t="s">
        <v>982</v>
      </c>
      <c r="O238" s="5" t="s">
        <v>32</v>
      </c>
      <c r="P238" s="5" t="s">
        <v>44</v>
      </c>
      <c r="Q238" s="5" t="s">
        <v>983</v>
      </c>
      <c r="R238" s="5">
        <v>49.96</v>
      </c>
      <c r="S238" s="5">
        <v>2</v>
      </c>
      <c r="T238" s="5">
        <v>0</v>
      </c>
      <c r="U238" s="5">
        <v>99.92</v>
      </c>
      <c r="V238" s="7">
        <v>9.4923999999999964</v>
      </c>
    </row>
    <row r="239" spans="1:22" ht="15.5" x14ac:dyDescent="0.35">
      <c r="A239" s="8">
        <v>397</v>
      </c>
      <c r="B239" s="9" t="s">
        <v>977</v>
      </c>
      <c r="C239" s="10">
        <v>44486</v>
      </c>
      <c r="D239" s="10">
        <v>44488</v>
      </c>
      <c r="E239" s="9" t="s">
        <v>23</v>
      </c>
      <c r="F239" s="9" t="s">
        <v>978</v>
      </c>
      <c r="G239" s="9" t="s">
        <v>979</v>
      </c>
      <c r="H239" s="9" t="s">
        <v>26</v>
      </c>
      <c r="I239" s="9" t="s">
        <v>27</v>
      </c>
      <c r="J239" s="9" t="s">
        <v>980</v>
      </c>
      <c r="K239" s="9" t="s">
        <v>981</v>
      </c>
      <c r="L239" s="9">
        <v>2886</v>
      </c>
      <c r="M239" s="9" t="s">
        <v>125</v>
      </c>
      <c r="N239" s="9" t="s">
        <v>984</v>
      </c>
      <c r="O239" s="9" t="s">
        <v>32</v>
      </c>
      <c r="P239" s="9" t="s">
        <v>64</v>
      </c>
      <c r="Q239" s="9" t="s">
        <v>985</v>
      </c>
      <c r="R239" s="9">
        <v>12.96</v>
      </c>
      <c r="S239" s="9">
        <v>2</v>
      </c>
      <c r="T239" s="9">
        <v>0</v>
      </c>
      <c r="U239" s="9">
        <v>25.92</v>
      </c>
      <c r="V239" s="11">
        <v>6.2208000000000006</v>
      </c>
    </row>
    <row r="240" spans="1:22" ht="15.5" x14ac:dyDescent="0.35">
      <c r="A240" s="4">
        <v>398</v>
      </c>
      <c r="B240" s="5" t="s">
        <v>986</v>
      </c>
      <c r="C240" s="6">
        <v>43769</v>
      </c>
      <c r="D240" s="6">
        <v>43773</v>
      </c>
      <c r="E240" s="5" t="s">
        <v>36</v>
      </c>
      <c r="F240" s="5" t="s">
        <v>74</v>
      </c>
      <c r="G240" s="5" t="s">
        <v>75</v>
      </c>
      <c r="H240" s="5" t="s">
        <v>76</v>
      </c>
      <c r="I240" s="5" t="s">
        <v>27</v>
      </c>
      <c r="J240" s="5" t="s">
        <v>232</v>
      </c>
      <c r="K240" s="5" t="s">
        <v>171</v>
      </c>
      <c r="L240" s="5">
        <v>49201</v>
      </c>
      <c r="M240" s="5" t="s">
        <v>79</v>
      </c>
      <c r="N240" s="5" t="s">
        <v>987</v>
      </c>
      <c r="O240" s="5" t="s">
        <v>32</v>
      </c>
      <c r="P240" s="5" t="s">
        <v>414</v>
      </c>
      <c r="Q240" s="5" t="s">
        <v>988</v>
      </c>
      <c r="R240" s="5">
        <v>70.12</v>
      </c>
      <c r="S240" s="5">
        <v>4</v>
      </c>
      <c r="T240" s="5">
        <v>0</v>
      </c>
      <c r="U240" s="5">
        <v>280.48</v>
      </c>
      <c r="V240" s="7">
        <v>21.035999999999994</v>
      </c>
    </row>
    <row r="241" spans="1:22" ht="15.5" x14ac:dyDescent="0.35">
      <c r="A241" s="8">
        <v>399</v>
      </c>
      <c r="B241" s="9" t="s">
        <v>989</v>
      </c>
      <c r="C241" s="10">
        <v>44082</v>
      </c>
      <c r="D241" s="10">
        <v>44084</v>
      </c>
      <c r="E241" s="9" t="s">
        <v>23</v>
      </c>
      <c r="F241" s="9" t="s">
        <v>990</v>
      </c>
      <c r="G241" s="9" t="s">
        <v>991</v>
      </c>
      <c r="H241" s="9" t="s">
        <v>39</v>
      </c>
      <c r="I241" s="9" t="s">
        <v>27</v>
      </c>
      <c r="J241" s="9" t="s">
        <v>140</v>
      </c>
      <c r="K241" s="9" t="s">
        <v>78</v>
      </c>
      <c r="L241" s="9">
        <v>77036</v>
      </c>
      <c r="M241" s="9" t="s">
        <v>79</v>
      </c>
      <c r="N241" s="9" t="s">
        <v>992</v>
      </c>
      <c r="O241" s="9" t="s">
        <v>32</v>
      </c>
      <c r="P241" s="9" t="s">
        <v>44</v>
      </c>
      <c r="Q241" s="9" t="s">
        <v>993</v>
      </c>
      <c r="R241" s="9">
        <v>35.952000000000005</v>
      </c>
      <c r="S241" s="9">
        <v>3</v>
      </c>
      <c r="T241" s="9">
        <v>0.2</v>
      </c>
      <c r="U241" s="9">
        <v>86.284800000000018</v>
      </c>
      <c r="V241" s="11">
        <v>3.5951999999999984</v>
      </c>
    </row>
    <row r="242" spans="1:22" ht="15.5" x14ac:dyDescent="0.35">
      <c r="A242" s="4">
        <v>401</v>
      </c>
      <c r="B242" s="5" t="s">
        <v>989</v>
      </c>
      <c r="C242" s="6">
        <v>44082</v>
      </c>
      <c r="D242" s="6">
        <v>44084</v>
      </c>
      <c r="E242" s="5" t="s">
        <v>23</v>
      </c>
      <c r="F242" s="5" t="s">
        <v>990</v>
      </c>
      <c r="G242" s="5" t="s">
        <v>991</v>
      </c>
      <c r="H242" s="5" t="s">
        <v>39</v>
      </c>
      <c r="I242" s="5" t="s">
        <v>27</v>
      </c>
      <c r="J242" s="5" t="s">
        <v>140</v>
      </c>
      <c r="K242" s="5" t="s">
        <v>78</v>
      </c>
      <c r="L242" s="5">
        <v>77036</v>
      </c>
      <c r="M242" s="5" t="s">
        <v>79</v>
      </c>
      <c r="N242" s="5" t="s">
        <v>994</v>
      </c>
      <c r="O242" s="5" t="s">
        <v>32</v>
      </c>
      <c r="P242" s="5" t="s">
        <v>44</v>
      </c>
      <c r="Q242" s="5" t="s">
        <v>995</v>
      </c>
      <c r="R242" s="5">
        <v>131.136</v>
      </c>
      <c r="S242" s="5">
        <v>4</v>
      </c>
      <c r="T242" s="5">
        <v>0.2</v>
      </c>
      <c r="U242" s="5">
        <v>419.6352</v>
      </c>
      <c r="V242" s="7">
        <v>-32.783999999999999</v>
      </c>
    </row>
    <row r="243" spans="1:22" ht="15.5" x14ac:dyDescent="0.35">
      <c r="A243" s="8">
        <v>403</v>
      </c>
      <c r="B243" s="9" t="s">
        <v>996</v>
      </c>
      <c r="C243" s="10">
        <v>43458</v>
      </c>
      <c r="D243" s="10">
        <v>43460</v>
      </c>
      <c r="E243" s="9" t="s">
        <v>160</v>
      </c>
      <c r="F243" s="9" t="s">
        <v>997</v>
      </c>
      <c r="G243" s="9" t="s">
        <v>998</v>
      </c>
      <c r="H243" s="9" t="s">
        <v>39</v>
      </c>
      <c r="I243" s="9" t="s">
        <v>27</v>
      </c>
      <c r="J243" s="9" t="s">
        <v>999</v>
      </c>
      <c r="K243" s="9" t="s">
        <v>41</v>
      </c>
      <c r="L243" s="9">
        <v>33180</v>
      </c>
      <c r="M243" s="9" t="s">
        <v>42</v>
      </c>
      <c r="N243" s="9" t="s">
        <v>1000</v>
      </c>
      <c r="O243" s="9" t="s">
        <v>32</v>
      </c>
      <c r="P243" s="9" t="s">
        <v>64</v>
      </c>
      <c r="Q243" s="9" t="s">
        <v>1001</v>
      </c>
      <c r="R243" s="9">
        <v>9.5680000000000014</v>
      </c>
      <c r="S243" s="9">
        <v>2</v>
      </c>
      <c r="T243" s="9">
        <v>0.2</v>
      </c>
      <c r="U243" s="9">
        <v>15.308800000000002</v>
      </c>
      <c r="V243" s="11">
        <v>3.4683999999999999</v>
      </c>
    </row>
    <row r="244" spans="1:22" ht="15.5" x14ac:dyDescent="0.35">
      <c r="A244" s="4">
        <v>404</v>
      </c>
      <c r="B244" s="5" t="s">
        <v>1002</v>
      </c>
      <c r="C244" s="6">
        <v>43206</v>
      </c>
      <c r="D244" s="6">
        <v>43210</v>
      </c>
      <c r="E244" s="5" t="s">
        <v>36</v>
      </c>
      <c r="F244" s="5" t="s">
        <v>449</v>
      </c>
      <c r="G244" s="5" t="s">
        <v>450</v>
      </c>
      <c r="H244" s="5" t="s">
        <v>26</v>
      </c>
      <c r="I244" s="5" t="s">
        <v>27</v>
      </c>
      <c r="J244" s="5" t="s">
        <v>378</v>
      </c>
      <c r="K244" s="5" t="s">
        <v>62</v>
      </c>
      <c r="L244" s="5">
        <v>28403</v>
      </c>
      <c r="M244" s="5" t="s">
        <v>42</v>
      </c>
      <c r="N244" s="5" t="s">
        <v>1003</v>
      </c>
      <c r="O244" s="5" t="s">
        <v>32</v>
      </c>
      <c r="P244" s="5" t="s">
        <v>50</v>
      </c>
      <c r="Q244" s="5" t="s">
        <v>1004</v>
      </c>
      <c r="R244" s="5">
        <v>39.072000000000003</v>
      </c>
      <c r="S244" s="5">
        <v>6</v>
      </c>
      <c r="T244" s="5">
        <v>0.2</v>
      </c>
      <c r="U244" s="5">
        <v>187.54560000000001</v>
      </c>
      <c r="V244" s="7">
        <v>9.7680000000000007</v>
      </c>
    </row>
    <row r="245" spans="1:22" ht="15.5" x14ac:dyDescent="0.35">
      <c r="A245" s="8">
        <v>405</v>
      </c>
      <c r="B245" s="9" t="s">
        <v>1005</v>
      </c>
      <c r="C245" s="10">
        <v>44554</v>
      </c>
      <c r="D245" s="10">
        <v>44559</v>
      </c>
      <c r="E245" s="9" t="s">
        <v>36</v>
      </c>
      <c r="F245" s="9" t="s">
        <v>1006</v>
      </c>
      <c r="G245" s="9" t="s">
        <v>1007</v>
      </c>
      <c r="H245" s="9" t="s">
        <v>39</v>
      </c>
      <c r="I245" s="9" t="s">
        <v>27</v>
      </c>
      <c r="J245" s="9" t="s">
        <v>186</v>
      </c>
      <c r="K245" s="9" t="s">
        <v>187</v>
      </c>
      <c r="L245" s="9">
        <v>10024</v>
      </c>
      <c r="M245" s="9" t="s">
        <v>125</v>
      </c>
      <c r="N245" s="9" t="s">
        <v>1008</v>
      </c>
      <c r="O245" s="9" t="s">
        <v>32</v>
      </c>
      <c r="P245" s="9" t="s">
        <v>56</v>
      </c>
      <c r="Q245" s="9" t="s">
        <v>1009</v>
      </c>
      <c r="R245" s="9">
        <v>35.910000000000004</v>
      </c>
      <c r="S245" s="9">
        <v>3</v>
      </c>
      <c r="T245" s="9">
        <v>0</v>
      </c>
      <c r="U245" s="9">
        <v>107.73000000000002</v>
      </c>
      <c r="V245" s="11">
        <v>9.6956999999999987</v>
      </c>
    </row>
    <row r="246" spans="1:22" ht="15.5" x14ac:dyDescent="0.35">
      <c r="A246" s="4">
        <v>408</v>
      </c>
      <c r="B246" s="5" t="s">
        <v>1010</v>
      </c>
      <c r="C246" s="6">
        <v>44538</v>
      </c>
      <c r="D246" s="6">
        <v>44542</v>
      </c>
      <c r="E246" s="5" t="s">
        <v>36</v>
      </c>
      <c r="F246" s="5" t="s">
        <v>1011</v>
      </c>
      <c r="G246" s="5" t="s">
        <v>1012</v>
      </c>
      <c r="H246" s="5" t="s">
        <v>39</v>
      </c>
      <c r="I246" s="5" t="s">
        <v>27</v>
      </c>
      <c r="J246" s="5" t="s">
        <v>101</v>
      </c>
      <c r="K246" s="5" t="s">
        <v>29</v>
      </c>
      <c r="L246" s="5">
        <v>94110</v>
      </c>
      <c r="M246" s="5" t="s">
        <v>30</v>
      </c>
      <c r="N246" s="5" t="s">
        <v>1013</v>
      </c>
      <c r="O246" s="5" t="s">
        <v>32</v>
      </c>
      <c r="P246" s="5" t="s">
        <v>64</v>
      </c>
      <c r="Q246" s="5" t="s">
        <v>1014</v>
      </c>
      <c r="R246" s="5">
        <v>27.15</v>
      </c>
      <c r="S246" s="5">
        <v>5</v>
      </c>
      <c r="T246" s="5">
        <v>0</v>
      </c>
      <c r="U246" s="5">
        <v>135.75</v>
      </c>
      <c r="V246" s="7">
        <v>13.3035</v>
      </c>
    </row>
    <row r="247" spans="1:22" ht="15.5" x14ac:dyDescent="0.35">
      <c r="A247" s="8">
        <v>410</v>
      </c>
      <c r="B247" s="9" t="s">
        <v>1010</v>
      </c>
      <c r="C247" s="10">
        <v>44538</v>
      </c>
      <c r="D247" s="10">
        <v>44542</v>
      </c>
      <c r="E247" s="9" t="s">
        <v>36</v>
      </c>
      <c r="F247" s="9" t="s">
        <v>1011</v>
      </c>
      <c r="G247" s="9" t="s">
        <v>1012</v>
      </c>
      <c r="H247" s="9" t="s">
        <v>39</v>
      </c>
      <c r="I247" s="9" t="s">
        <v>27</v>
      </c>
      <c r="J247" s="9" t="s">
        <v>101</v>
      </c>
      <c r="K247" s="9" t="s">
        <v>29</v>
      </c>
      <c r="L247" s="9">
        <v>94110</v>
      </c>
      <c r="M247" s="9" t="s">
        <v>30</v>
      </c>
      <c r="N247" s="9" t="s">
        <v>1015</v>
      </c>
      <c r="O247" s="9" t="s">
        <v>32</v>
      </c>
      <c r="P247" s="9" t="s">
        <v>64</v>
      </c>
      <c r="Q247" s="9" t="s">
        <v>1016</v>
      </c>
      <c r="R247" s="9">
        <v>9.68</v>
      </c>
      <c r="S247" s="9">
        <v>1</v>
      </c>
      <c r="T247" s="9">
        <v>0</v>
      </c>
      <c r="U247" s="9">
        <v>9.68</v>
      </c>
      <c r="V247" s="11">
        <v>4.6463999999999999</v>
      </c>
    </row>
    <row r="248" spans="1:22" ht="15.5" x14ac:dyDescent="0.35">
      <c r="A248" s="4">
        <v>411</v>
      </c>
      <c r="B248" s="5" t="s">
        <v>1010</v>
      </c>
      <c r="C248" s="6">
        <v>44538</v>
      </c>
      <c r="D248" s="6">
        <v>44542</v>
      </c>
      <c r="E248" s="5" t="s">
        <v>36</v>
      </c>
      <c r="F248" s="5" t="s">
        <v>1011</v>
      </c>
      <c r="G248" s="5" t="s">
        <v>1012</v>
      </c>
      <c r="H248" s="5" t="s">
        <v>39</v>
      </c>
      <c r="I248" s="5" t="s">
        <v>27</v>
      </c>
      <c r="J248" s="5" t="s">
        <v>101</v>
      </c>
      <c r="K248" s="5" t="s">
        <v>29</v>
      </c>
      <c r="L248" s="5">
        <v>94110</v>
      </c>
      <c r="M248" s="5" t="s">
        <v>30</v>
      </c>
      <c r="N248" s="5" t="s">
        <v>1017</v>
      </c>
      <c r="O248" s="5" t="s">
        <v>32</v>
      </c>
      <c r="P248" s="5" t="s">
        <v>33</v>
      </c>
      <c r="Q248" s="5" t="s">
        <v>1018</v>
      </c>
      <c r="R248" s="5">
        <v>28.349999999999998</v>
      </c>
      <c r="S248" s="5">
        <v>9</v>
      </c>
      <c r="T248" s="5">
        <v>0</v>
      </c>
      <c r="U248" s="5">
        <v>255.14999999999998</v>
      </c>
      <c r="V248" s="7">
        <v>13.608000000000001</v>
      </c>
    </row>
    <row r="249" spans="1:22" ht="15.5" x14ac:dyDescent="0.35">
      <c r="A249" s="8">
        <v>412</v>
      </c>
      <c r="B249" s="9" t="s">
        <v>1010</v>
      </c>
      <c r="C249" s="10">
        <v>44538</v>
      </c>
      <c r="D249" s="10">
        <v>44542</v>
      </c>
      <c r="E249" s="9" t="s">
        <v>36</v>
      </c>
      <c r="F249" s="9" t="s">
        <v>1011</v>
      </c>
      <c r="G249" s="9" t="s">
        <v>1012</v>
      </c>
      <c r="H249" s="9" t="s">
        <v>39</v>
      </c>
      <c r="I249" s="9" t="s">
        <v>27</v>
      </c>
      <c r="J249" s="9" t="s">
        <v>101</v>
      </c>
      <c r="K249" s="9" t="s">
        <v>29</v>
      </c>
      <c r="L249" s="9">
        <v>94110</v>
      </c>
      <c r="M249" s="9" t="s">
        <v>30</v>
      </c>
      <c r="N249" s="9" t="s">
        <v>873</v>
      </c>
      <c r="O249" s="9" t="s">
        <v>32</v>
      </c>
      <c r="P249" s="9" t="s">
        <v>64</v>
      </c>
      <c r="Q249" s="9" t="s">
        <v>1019</v>
      </c>
      <c r="R249" s="9">
        <v>55.98</v>
      </c>
      <c r="S249" s="9">
        <v>1</v>
      </c>
      <c r="T249" s="9">
        <v>0</v>
      </c>
      <c r="U249" s="9">
        <v>55.98</v>
      </c>
      <c r="V249" s="11">
        <v>27.430199999999999</v>
      </c>
    </row>
    <row r="250" spans="1:22" ht="15.5" x14ac:dyDescent="0.35">
      <c r="A250" s="4">
        <v>415</v>
      </c>
      <c r="B250" s="5" t="s">
        <v>1020</v>
      </c>
      <c r="C250" s="6">
        <v>44503</v>
      </c>
      <c r="D250" s="6">
        <v>44507</v>
      </c>
      <c r="E250" s="5" t="s">
        <v>36</v>
      </c>
      <c r="F250" s="5" t="s">
        <v>1021</v>
      </c>
      <c r="G250" s="5" t="s">
        <v>1022</v>
      </c>
      <c r="H250" s="5" t="s">
        <v>26</v>
      </c>
      <c r="I250" s="5" t="s">
        <v>27</v>
      </c>
      <c r="J250" s="5" t="s">
        <v>69</v>
      </c>
      <c r="K250" s="5" t="s">
        <v>70</v>
      </c>
      <c r="L250" s="5">
        <v>98105</v>
      </c>
      <c r="M250" s="5" t="s">
        <v>30</v>
      </c>
      <c r="N250" s="5" t="s">
        <v>1023</v>
      </c>
      <c r="O250" s="5" t="s">
        <v>32</v>
      </c>
      <c r="P250" s="5" t="s">
        <v>64</v>
      </c>
      <c r="Q250" s="5" t="s">
        <v>1024</v>
      </c>
      <c r="R250" s="5">
        <v>139.86000000000001</v>
      </c>
      <c r="S250" s="5">
        <v>7</v>
      </c>
      <c r="T250" s="5">
        <v>0</v>
      </c>
      <c r="U250" s="5">
        <v>979.0200000000001</v>
      </c>
      <c r="V250" s="7">
        <v>65.734199999999987</v>
      </c>
    </row>
    <row r="251" spans="1:22" ht="15.5" x14ac:dyDescent="0.35">
      <c r="A251" s="8">
        <v>417</v>
      </c>
      <c r="B251" s="9" t="s">
        <v>1025</v>
      </c>
      <c r="C251" s="10">
        <v>44371</v>
      </c>
      <c r="D251" s="10">
        <v>44375</v>
      </c>
      <c r="E251" s="9" t="s">
        <v>36</v>
      </c>
      <c r="F251" s="9" t="s">
        <v>1026</v>
      </c>
      <c r="G251" s="9" t="s">
        <v>1027</v>
      </c>
      <c r="H251" s="9" t="s">
        <v>39</v>
      </c>
      <c r="I251" s="9" t="s">
        <v>27</v>
      </c>
      <c r="J251" s="9" t="s">
        <v>1028</v>
      </c>
      <c r="K251" s="9" t="s">
        <v>29</v>
      </c>
      <c r="L251" s="9">
        <v>92646</v>
      </c>
      <c r="M251" s="9" t="s">
        <v>30</v>
      </c>
      <c r="N251" s="9" t="s">
        <v>1029</v>
      </c>
      <c r="O251" s="9" t="s">
        <v>32</v>
      </c>
      <c r="P251" s="9" t="s">
        <v>50</v>
      </c>
      <c r="Q251" s="9" t="s">
        <v>1030</v>
      </c>
      <c r="R251" s="9">
        <v>95.92</v>
      </c>
      <c r="S251" s="9">
        <v>8</v>
      </c>
      <c r="T251" s="9">
        <v>0</v>
      </c>
      <c r="U251" s="9">
        <v>767.36</v>
      </c>
      <c r="V251" s="11">
        <v>25.898399999999995</v>
      </c>
    </row>
    <row r="252" spans="1:22" ht="15.5" x14ac:dyDescent="0.35">
      <c r="A252" s="4">
        <v>419</v>
      </c>
      <c r="B252" s="5" t="s">
        <v>1031</v>
      </c>
      <c r="C252" s="6">
        <v>44506</v>
      </c>
      <c r="D252" s="6">
        <v>44510</v>
      </c>
      <c r="E252" s="5" t="s">
        <v>36</v>
      </c>
      <c r="F252" s="5" t="s">
        <v>892</v>
      </c>
      <c r="G252" s="5" t="s">
        <v>893</v>
      </c>
      <c r="H252" s="5" t="s">
        <v>26</v>
      </c>
      <c r="I252" s="5" t="s">
        <v>27</v>
      </c>
      <c r="J252" s="5" t="s">
        <v>1032</v>
      </c>
      <c r="K252" s="5" t="s">
        <v>1033</v>
      </c>
      <c r="L252" s="5">
        <v>40475</v>
      </c>
      <c r="M252" s="5" t="s">
        <v>42</v>
      </c>
      <c r="N252" s="5" t="s">
        <v>1034</v>
      </c>
      <c r="O252" s="5" t="s">
        <v>32</v>
      </c>
      <c r="P252" s="5" t="s">
        <v>64</v>
      </c>
      <c r="Q252" s="5" t="s">
        <v>1035</v>
      </c>
      <c r="R252" s="5">
        <v>5.78</v>
      </c>
      <c r="S252" s="5">
        <v>1</v>
      </c>
      <c r="T252" s="5">
        <v>0</v>
      </c>
      <c r="U252" s="5">
        <v>5.78</v>
      </c>
      <c r="V252" s="7">
        <v>2.8322000000000003</v>
      </c>
    </row>
    <row r="253" spans="1:22" ht="15.5" x14ac:dyDescent="0.35">
      <c r="A253" s="8">
        <v>420</v>
      </c>
      <c r="B253" s="9" t="s">
        <v>1036</v>
      </c>
      <c r="C253" s="10">
        <v>44259</v>
      </c>
      <c r="D253" s="10">
        <v>44264</v>
      </c>
      <c r="E253" s="9" t="s">
        <v>36</v>
      </c>
      <c r="F253" s="9" t="s">
        <v>809</v>
      </c>
      <c r="G253" s="9" t="s">
        <v>810</v>
      </c>
      <c r="H253" s="9" t="s">
        <v>26</v>
      </c>
      <c r="I253" s="9" t="s">
        <v>27</v>
      </c>
      <c r="J253" s="9" t="s">
        <v>28</v>
      </c>
      <c r="K253" s="9" t="s">
        <v>29</v>
      </c>
      <c r="L253" s="9">
        <v>90045</v>
      </c>
      <c r="M253" s="9" t="s">
        <v>30</v>
      </c>
      <c r="N253" s="9" t="s">
        <v>1037</v>
      </c>
      <c r="O253" s="9" t="s">
        <v>32</v>
      </c>
      <c r="P253" s="9" t="s">
        <v>50</v>
      </c>
      <c r="Q253" s="9" t="s">
        <v>1038</v>
      </c>
      <c r="R253" s="9">
        <v>9.32</v>
      </c>
      <c r="S253" s="9">
        <v>4</v>
      </c>
      <c r="T253" s="9">
        <v>0</v>
      </c>
      <c r="U253" s="9">
        <v>37.28</v>
      </c>
      <c r="V253" s="11">
        <v>2.702799999999999</v>
      </c>
    </row>
    <row r="254" spans="1:22" ht="15.5" x14ac:dyDescent="0.35">
      <c r="A254" s="4">
        <v>421</v>
      </c>
      <c r="B254" s="5" t="s">
        <v>1036</v>
      </c>
      <c r="C254" s="6">
        <v>44259</v>
      </c>
      <c r="D254" s="6">
        <v>44264</v>
      </c>
      <c r="E254" s="5" t="s">
        <v>36</v>
      </c>
      <c r="F254" s="5" t="s">
        <v>809</v>
      </c>
      <c r="G254" s="5" t="s">
        <v>810</v>
      </c>
      <c r="H254" s="5" t="s">
        <v>26</v>
      </c>
      <c r="I254" s="5" t="s">
        <v>27</v>
      </c>
      <c r="J254" s="5" t="s">
        <v>28</v>
      </c>
      <c r="K254" s="5" t="s">
        <v>29</v>
      </c>
      <c r="L254" s="5">
        <v>90045</v>
      </c>
      <c r="M254" s="5" t="s">
        <v>30</v>
      </c>
      <c r="N254" s="5" t="s">
        <v>1039</v>
      </c>
      <c r="O254" s="5" t="s">
        <v>32</v>
      </c>
      <c r="P254" s="5" t="s">
        <v>129</v>
      </c>
      <c r="Q254" s="5" t="s">
        <v>1040</v>
      </c>
      <c r="R254" s="5">
        <v>15.25</v>
      </c>
      <c r="S254" s="5">
        <v>1</v>
      </c>
      <c r="T254" s="5">
        <v>0</v>
      </c>
      <c r="U254" s="5">
        <v>15.25</v>
      </c>
      <c r="V254" s="7">
        <v>7.0149999999999988</v>
      </c>
    </row>
    <row r="255" spans="1:22" ht="15.5" x14ac:dyDescent="0.35">
      <c r="A255" s="8">
        <v>424</v>
      </c>
      <c r="B255" s="9" t="s">
        <v>1041</v>
      </c>
      <c r="C255" s="10">
        <v>44488</v>
      </c>
      <c r="D255" s="10">
        <v>44492</v>
      </c>
      <c r="E255" s="9" t="s">
        <v>36</v>
      </c>
      <c r="F255" s="9" t="s">
        <v>1042</v>
      </c>
      <c r="G255" s="9" t="s">
        <v>1043</v>
      </c>
      <c r="H255" s="9" t="s">
        <v>26</v>
      </c>
      <c r="I255" s="9" t="s">
        <v>27</v>
      </c>
      <c r="J255" s="9" t="s">
        <v>1044</v>
      </c>
      <c r="K255" s="9" t="s">
        <v>867</v>
      </c>
      <c r="L255" s="9">
        <v>1841</v>
      </c>
      <c r="M255" s="9" t="s">
        <v>125</v>
      </c>
      <c r="N255" s="9" t="s">
        <v>1045</v>
      </c>
      <c r="O255" s="9" t="s">
        <v>32</v>
      </c>
      <c r="P255" s="9" t="s">
        <v>44</v>
      </c>
      <c r="Q255" s="9" t="s">
        <v>1046</v>
      </c>
      <c r="R255" s="9">
        <v>32.700000000000003</v>
      </c>
      <c r="S255" s="9">
        <v>3</v>
      </c>
      <c r="T255" s="9">
        <v>0</v>
      </c>
      <c r="U255" s="9">
        <v>98.100000000000009</v>
      </c>
      <c r="V255" s="11">
        <v>8.5019999999999989</v>
      </c>
    </row>
    <row r="256" spans="1:22" ht="15.5" x14ac:dyDescent="0.35">
      <c r="A256" s="4">
        <v>427</v>
      </c>
      <c r="B256" s="5" t="s">
        <v>1047</v>
      </c>
      <c r="C256" s="6">
        <v>44523</v>
      </c>
      <c r="D256" s="6">
        <v>44526</v>
      </c>
      <c r="E256" s="5" t="s">
        <v>23</v>
      </c>
      <c r="F256" s="5" t="s">
        <v>184</v>
      </c>
      <c r="G256" s="5" t="s">
        <v>185</v>
      </c>
      <c r="H256" s="5" t="s">
        <v>26</v>
      </c>
      <c r="I256" s="5" t="s">
        <v>27</v>
      </c>
      <c r="J256" s="5" t="s">
        <v>1048</v>
      </c>
      <c r="K256" s="5" t="s">
        <v>171</v>
      </c>
      <c r="L256" s="5">
        <v>48187</v>
      </c>
      <c r="M256" s="5" t="s">
        <v>79</v>
      </c>
      <c r="N256" s="5" t="s">
        <v>1049</v>
      </c>
      <c r="O256" s="5" t="s">
        <v>32</v>
      </c>
      <c r="P256" s="5" t="s">
        <v>53</v>
      </c>
      <c r="Q256" s="5" t="s">
        <v>1050</v>
      </c>
      <c r="R256" s="5">
        <v>287.92</v>
      </c>
      <c r="S256" s="5">
        <v>8</v>
      </c>
      <c r="T256" s="5">
        <v>0</v>
      </c>
      <c r="U256" s="5">
        <v>2303.36</v>
      </c>
      <c r="V256" s="7">
        <v>138.202</v>
      </c>
    </row>
    <row r="257" spans="1:22" ht="15.5" x14ac:dyDescent="0.35">
      <c r="A257" s="8">
        <v>429</v>
      </c>
      <c r="B257" s="9" t="s">
        <v>1051</v>
      </c>
      <c r="C257" s="10">
        <v>44470</v>
      </c>
      <c r="D257" s="10">
        <v>44477</v>
      </c>
      <c r="E257" s="9" t="s">
        <v>36</v>
      </c>
      <c r="F257" s="9" t="s">
        <v>1052</v>
      </c>
      <c r="G257" s="9" t="s">
        <v>1053</v>
      </c>
      <c r="H257" s="9" t="s">
        <v>26</v>
      </c>
      <c r="I257" s="9" t="s">
        <v>27</v>
      </c>
      <c r="J257" s="9" t="s">
        <v>490</v>
      </c>
      <c r="K257" s="9" t="s">
        <v>78</v>
      </c>
      <c r="L257" s="9">
        <v>78207</v>
      </c>
      <c r="M257" s="9" t="s">
        <v>79</v>
      </c>
      <c r="N257" s="9" t="s">
        <v>1054</v>
      </c>
      <c r="O257" s="9" t="s">
        <v>32</v>
      </c>
      <c r="P257" s="9" t="s">
        <v>50</v>
      </c>
      <c r="Q257" s="9" t="s">
        <v>1055</v>
      </c>
      <c r="R257" s="9">
        <v>6.6719999999999988</v>
      </c>
      <c r="S257" s="9">
        <v>6</v>
      </c>
      <c r="T257" s="9">
        <v>0.2</v>
      </c>
      <c r="U257" s="9">
        <v>32.025599999999997</v>
      </c>
      <c r="V257" s="11">
        <v>0.50039999999999996</v>
      </c>
    </row>
    <row r="258" spans="1:22" ht="15.5" x14ac:dyDescent="0.35">
      <c r="A258" s="4">
        <v>430</v>
      </c>
      <c r="B258" s="5" t="s">
        <v>1056</v>
      </c>
      <c r="C258" s="6">
        <v>43936</v>
      </c>
      <c r="D258" s="6">
        <v>43942</v>
      </c>
      <c r="E258" s="5" t="s">
        <v>36</v>
      </c>
      <c r="F258" s="5" t="s">
        <v>1057</v>
      </c>
      <c r="G258" s="5" t="s">
        <v>1058</v>
      </c>
      <c r="H258" s="5" t="s">
        <v>76</v>
      </c>
      <c r="I258" s="5" t="s">
        <v>27</v>
      </c>
      <c r="J258" s="5" t="s">
        <v>1059</v>
      </c>
      <c r="K258" s="5" t="s">
        <v>62</v>
      </c>
      <c r="L258" s="5">
        <v>28052</v>
      </c>
      <c r="M258" s="5" t="s">
        <v>42</v>
      </c>
      <c r="N258" s="5" t="s">
        <v>1060</v>
      </c>
      <c r="O258" s="5" t="s">
        <v>32</v>
      </c>
      <c r="P258" s="5" t="s">
        <v>53</v>
      </c>
      <c r="Q258" s="5" t="s">
        <v>1061</v>
      </c>
      <c r="R258" s="5">
        <v>189.58800000000005</v>
      </c>
      <c r="S258" s="5">
        <v>2</v>
      </c>
      <c r="T258" s="5">
        <v>0.7</v>
      </c>
      <c r="U258" s="5">
        <v>113.75280000000004</v>
      </c>
      <c r="V258" s="7">
        <v>-145.35079999999999</v>
      </c>
    </row>
    <row r="259" spans="1:22" ht="15.5" x14ac:dyDescent="0.35">
      <c r="A259" s="8">
        <v>433</v>
      </c>
      <c r="B259" s="9" t="s">
        <v>1056</v>
      </c>
      <c r="C259" s="10">
        <v>43936</v>
      </c>
      <c r="D259" s="10">
        <v>43942</v>
      </c>
      <c r="E259" s="9" t="s">
        <v>36</v>
      </c>
      <c r="F259" s="9" t="s">
        <v>1057</v>
      </c>
      <c r="G259" s="9" t="s">
        <v>1058</v>
      </c>
      <c r="H259" s="9" t="s">
        <v>76</v>
      </c>
      <c r="I259" s="9" t="s">
        <v>27</v>
      </c>
      <c r="J259" s="9" t="s">
        <v>1059</v>
      </c>
      <c r="K259" s="9" t="s">
        <v>62</v>
      </c>
      <c r="L259" s="9">
        <v>28052</v>
      </c>
      <c r="M259" s="9" t="s">
        <v>42</v>
      </c>
      <c r="N259" s="9" t="s">
        <v>1062</v>
      </c>
      <c r="O259" s="9" t="s">
        <v>32</v>
      </c>
      <c r="P259" s="9" t="s">
        <v>44</v>
      </c>
      <c r="Q259" s="9" t="s">
        <v>1063</v>
      </c>
      <c r="R259" s="9">
        <v>4.7679999999999998</v>
      </c>
      <c r="S259" s="9">
        <v>2</v>
      </c>
      <c r="T259" s="9">
        <v>0.2</v>
      </c>
      <c r="U259" s="9">
        <v>7.6288</v>
      </c>
      <c r="V259" s="11">
        <v>-0.7748000000000006</v>
      </c>
    </row>
    <row r="260" spans="1:22" ht="15.5" x14ac:dyDescent="0.35">
      <c r="A260" s="4">
        <v>434</v>
      </c>
      <c r="B260" s="5" t="s">
        <v>1064</v>
      </c>
      <c r="C260" s="6">
        <v>43988</v>
      </c>
      <c r="D260" s="6">
        <v>43989</v>
      </c>
      <c r="E260" s="5" t="s">
        <v>160</v>
      </c>
      <c r="F260" s="5" t="s">
        <v>1065</v>
      </c>
      <c r="G260" s="5" t="s">
        <v>1066</v>
      </c>
      <c r="H260" s="5" t="s">
        <v>39</v>
      </c>
      <c r="I260" s="5" t="s">
        <v>27</v>
      </c>
      <c r="J260" s="5" t="s">
        <v>866</v>
      </c>
      <c r="K260" s="5" t="s">
        <v>867</v>
      </c>
      <c r="L260" s="5">
        <v>1852</v>
      </c>
      <c r="M260" s="5" t="s">
        <v>125</v>
      </c>
      <c r="N260" s="5" t="s">
        <v>1067</v>
      </c>
      <c r="O260" s="5" t="s">
        <v>32</v>
      </c>
      <c r="P260" s="5" t="s">
        <v>44</v>
      </c>
      <c r="Q260" s="5" t="s">
        <v>1068</v>
      </c>
      <c r="R260" s="5">
        <v>714.30000000000007</v>
      </c>
      <c r="S260" s="5">
        <v>5</v>
      </c>
      <c r="T260" s="5">
        <v>0</v>
      </c>
      <c r="U260" s="5">
        <v>3571.5000000000005</v>
      </c>
      <c r="V260" s="7">
        <v>207.14699999999993</v>
      </c>
    </row>
    <row r="261" spans="1:22" ht="15.5" x14ac:dyDescent="0.35">
      <c r="A261" s="8">
        <v>435</v>
      </c>
      <c r="B261" s="9" t="s">
        <v>1069</v>
      </c>
      <c r="C261" s="10">
        <v>43453</v>
      </c>
      <c r="D261" s="10">
        <v>43459</v>
      </c>
      <c r="E261" s="9" t="s">
        <v>36</v>
      </c>
      <c r="F261" s="9" t="s">
        <v>1070</v>
      </c>
      <c r="G261" s="9" t="s">
        <v>1071</v>
      </c>
      <c r="H261" s="9" t="s">
        <v>39</v>
      </c>
      <c r="I261" s="9" t="s">
        <v>27</v>
      </c>
      <c r="J261" s="9" t="s">
        <v>1072</v>
      </c>
      <c r="K261" s="9" t="s">
        <v>41</v>
      </c>
      <c r="L261" s="9">
        <v>32216</v>
      </c>
      <c r="M261" s="9" t="s">
        <v>42</v>
      </c>
      <c r="N261" s="9" t="s">
        <v>1073</v>
      </c>
      <c r="O261" s="9" t="s">
        <v>32</v>
      </c>
      <c r="P261" s="9" t="s">
        <v>53</v>
      </c>
      <c r="Q261" s="9" t="s">
        <v>1074</v>
      </c>
      <c r="R261" s="9">
        <v>4.8120000000000003</v>
      </c>
      <c r="S261" s="9">
        <v>2</v>
      </c>
      <c r="T261" s="9">
        <v>0.7</v>
      </c>
      <c r="U261" s="9">
        <v>2.8872000000000009</v>
      </c>
      <c r="V261" s="11">
        <v>-3.6891999999999996</v>
      </c>
    </row>
    <row r="262" spans="1:22" ht="15.5" x14ac:dyDescent="0.35">
      <c r="A262" s="4">
        <v>438</v>
      </c>
      <c r="B262" s="5" t="s">
        <v>1075</v>
      </c>
      <c r="C262" s="6">
        <v>43994</v>
      </c>
      <c r="D262" s="6">
        <v>43996</v>
      </c>
      <c r="E262" s="5" t="s">
        <v>23</v>
      </c>
      <c r="F262" s="5" t="s">
        <v>1076</v>
      </c>
      <c r="G262" s="5" t="s">
        <v>1077</v>
      </c>
      <c r="H262" s="5" t="s">
        <v>76</v>
      </c>
      <c r="I262" s="5" t="s">
        <v>27</v>
      </c>
      <c r="J262" s="5" t="s">
        <v>274</v>
      </c>
      <c r="K262" s="5" t="s">
        <v>275</v>
      </c>
      <c r="L262" s="5">
        <v>60623</v>
      </c>
      <c r="M262" s="5" t="s">
        <v>79</v>
      </c>
      <c r="N262" s="5" t="s">
        <v>873</v>
      </c>
      <c r="O262" s="5" t="s">
        <v>32</v>
      </c>
      <c r="P262" s="5" t="s">
        <v>64</v>
      </c>
      <c r="Q262" s="5" t="s">
        <v>1019</v>
      </c>
      <c r="R262" s="5">
        <v>313.488</v>
      </c>
      <c r="S262" s="5">
        <v>7</v>
      </c>
      <c r="T262" s="5">
        <v>0.2</v>
      </c>
      <c r="U262" s="5">
        <v>1755.5328000000002</v>
      </c>
      <c r="V262" s="7">
        <v>113.63939999999998</v>
      </c>
    </row>
    <row r="263" spans="1:22" ht="15.5" x14ac:dyDescent="0.35">
      <c r="A263" s="8">
        <v>439</v>
      </c>
      <c r="B263" s="9" t="s">
        <v>1078</v>
      </c>
      <c r="C263" s="10">
        <v>44454</v>
      </c>
      <c r="D263" s="10">
        <v>44458</v>
      </c>
      <c r="E263" s="9" t="s">
        <v>36</v>
      </c>
      <c r="F263" s="9" t="s">
        <v>1079</v>
      </c>
      <c r="G263" s="9" t="s">
        <v>1080</v>
      </c>
      <c r="H263" s="9" t="s">
        <v>26</v>
      </c>
      <c r="I263" s="9" t="s">
        <v>27</v>
      </c>
      <c r="J263" s="9" t="s">
        <v>140</v>
      </c>
      <c r="K263" s="9" t="s">
        <v>78</v>
      </c>
      <c r="L263" s="9">
        <v>77070</v>
      </c>
      <c r="M263" s="9" t="s">
        <v>79</v>
      </c>
      <c r="N263" s="9" t="s">
        <v>1081</v>
      </c>
      <c r="O263" s="9" t="s">
        <v>32</v>
      </c>
      <c r="P263" s="9" t="s">
        <v>64</v>
      </c>
      <c r="Q263" s="9" t="s">
        <v>1082</v>
      </c>
      <c r="R263" s="9">
        <v>31.872000000000003</v>
      </c>
      <c r="S263" s="9">
        <v>8</v>
      </c>
      <c r="T263" s="9">
        <v>0.2</v>
      </c>
      <c r="U263" s="9">
        <v>203.98080000000002</v>
      </c>
      <c r="V263" s="11">
        <v>11.553600000000003</v>
      </c>
    </row>
    <row r="264" spans="1:22" ht="15.5" x14ac:dyDescent="0.35">
      <c r="A264" s="4">
        <v>442</v>
      </c>
      <c r="B264" s="5" t="s">
        <v>1083</v>
      </c>
      <c r="C264" s="6">
        <v>44079</v>
      </c>
      <c r="D264" s="6">
        <v>44081</v>
      </c>
      <c r="E264" s="5" t="s">
        <v>23</v>
      </c>
      <c r="F264" s="5" t="s">
        <v>85</v>
      </c>
      <c r="G264" s="5" t="s">
        <v>86</v>
      </c>
      <c r="H264" s="5" t="s">
        <v>39</v>
      </c>
      <c r="I264" s="5" t="s">
        <v>27</v>
      </c>
      <c r="J264" s="5" t="s">
        <v>628</v>
      </c>
      <c r="K264" s="5" t="s">
        <v>171</v>
      </c>
      <c r="L264" s="5">
        <v>48227</v>
      </c>
      <c r="M264" s="5" t="s">
        <v>79</v>
      </c>
      <c r="N264" s="5" t="s">
        <v>1084</v>
      </c>
      <c r="O264" s="5" t="s">
        <v>32</v>
      </c>
      <c r="P264" s="5" t="s">
        <v>44</v>
      </c>
      <c r="Q264" s="5" t="s">
        <v>1085</v>
      </c>
      <c r="R264" s="5">
        <v>194.94</v>
      </c>
      <c r="S264" s="5">
        <v>3</v>
      </c>
      <c r="T264" s="5">
        <v>0</v>
      </c>
      <c r="U264" s="5">
        <v>584.81999999999994</v>
      </c>
      <c r="V264" s="7">
        <v>23.392800000000008</v>
      </c>
    </row>
    <row r="265" spans="1:22" ht="15.5" x14ac:dyDescent="0.35">
      <c r="A265" s="8">
        <v>443</v>
      </c>
      <c r="B265" s="9" t="s">
        <v>1083</v>
      </c>
      <c r="C265" s="10">
        <v>44079</v>
      </c>
      <c r="D265" s="10">
        <v>44081</v>
      </c>
      <c r="E265" s="9" t="s">
        <v>23</v>
      </c>
      <c r="F265" s="9" t="s">
        <v>85</v>
      </c>
      <c r="G265" s="9" t="s">
        <v>86</v>
      </c>
      <c r="H265" s="9" t="s">
        <v>39</v>
      </c>
      <c r="I265" s="9" t="s">
        <v>27</v>
      </c>
      <c r="J265" s="9" t="s">
        <v>628</v>
      </c>
      <c r="K265" s="9" t="s">
        <v>171</v>
      </c>
      <c r="L265" s="9">
        <v>48227</v>
      </c>
      <c r="M265" s="9" t="s">
        <v>79</v>
      </c>
      <c r="N265" s="9" t="s">
        <v>1086</v>
      </c>
      <c r="O265" s="9" t="s">
        <v>32</v>
      </c>
      <c r="P265" s="9" t="s">
        <v>44</v>
      </c>
      <c r="Q265" s="9" t="s">
        <v>1087</v>
      </c>
      <c r="R265" s="9">
        <v>70.949999999999989</v>
      </c>
      <c r="S265" s="9">
        <v>3</v>
      </c>
      <c r="T265" s="9">
        <v>0</v>
      </c>
      <c r="U265" s="9">
        <v>212.84999999999997</v>
      </c>
      <c r="V265" s="11">
        <v>20.575499999999998</v>
      </c>
    </row>
    <row r="266" spans="1:22" ht="15.5" x14ac:dyDescent="0.35">
      <c r="A266" s="4">
        <v>444</v>
      </c>
      <c r="B266" s="5" t="s">
        <v>1083</v>
      </c>
      <c r="C266" s="6">
        <v>44079</v>
      </c>
      <c r="D266" s="6">
        <v>44081</v>
      </c>
      <c r="E266" s="5" t="s">
        <v>23</v>
      </c>
      <c r="F266" s="5" t="s">
        <v>85</v>
      </c>
      <c r="G266" s="5" t="s">
        <v>86</v>
      </c>
      <c r="H266" s="5" t="s">
        <v>39</v>
      </c>
      <c r="I266" s="5" t="s">
        <v>27</v>
      </c>
      <c r="J266" s="5" t="s">
        <v>628</v>
      </c>
      <c r="K266" s="5" t="s">
        <v>171</v>
      </c>
      <c r="L266" s="5">
        <v>48227</v>
      </c>
      <c r="M266" s="5" t="s">
        <v>79</v>
      </c>
      <c r="N266" s="5" t="s">
        <v>1088</v>
      </c>
      <c r="O266" s="5" t="s">
        <v>32</v>
      </c>
      <c r="P266" s="5" t="s">
        <v>64</v>
      </c>
      <c r="Q266" s="5" t="s">
        <v>1089</v>
      </c>
      <c r="R266" s="5">
        <v>91.36</v>
      </c>
      <c r="S266" s="5">
        <v>4</v>
      </c>
      <c r="T266" s="5">
        <v>0</v>
      </c>
      <c r="U266" s="5">
        <v>365.44</v>
      </c>
      <c r="V266" s="7">
        <v>42.025599999999997</v>
      </c>
    </row>
    <row r="267" spans="1:22" ht="15.5" x14ac:dyDescent="0.35">
      <c r="A267" s="8">
        <v>446</v>
      </c>
      <c r="B267" s="9" t="s">
        <v>1083</v>
      </c>
      <c r="C267" s="10">
        <v>44079</v>
      </c>
      <c r="D267" s="10">
        <v>44081</v>
      </c>
      <c r="E267" s="9" t="s">
        <v>23</v>
      </c>
      <c r="F267" s="9" t="s">
        <v>85</v>
      </c>
      <c r="G267" s="9" t="s">
        <v>86</v>
      </c>
      <c r="H267" s="9" t="s">
        <v>39</v>
      </c>
      <c r="I267" s="9" t="s">
        <v>27</v>
      </c>
      <c r="J267" s="9" t="s">
        <v>628</v>
      </c>
      <c r="K267" s="9" t="s">
        <v>171</v>
      </c>
      <c r="L267" s="9">
        <v>48227</v>
      </c>
      <c r="M267" s="9" t="s">
        <v>79</v>
      </c>
      <c r="N267" s="9" t="s">
        <v>1090</v>
      </c>
      <c r="O267" s="9" t="s">
        <v>32</v>
      </c>
      <c r="P267" s="9" t="s">
        <v>33</v>
      </c>
      <c r="Q267" s="9" t="s">
        <v>1091</v>
      </c>
      <c r="R267" s="9">
        <v>22.05</v>
      </c>
      <c r="S267" s="9">
        <v>7</v>
      </c>
      <c r="T267" s="9">
        <v>0</v>
      </c>
      <c r="U267" s="9">
        <v>154.35</v>
      </c>
      <c r="V267" s="11">
        <v>10.584</v>
      </c>
    </row>
    <row r="268" spans="1:22" ht="15.5" x14ac:dyDescent="0.35">
      <c r="A268" s="4">
        <v>448</v>
      </c>
      <c r="B268" s="5" t="s">
        <v>1092</v>
      </c>
      <c r="C268" s="6">
        <v>43922</v>
      </c>
      <c r="D268" s="6">
        <v>43924</v>
      </c>
      <c r="E268" s="5" t="s">
        <v>23</v>
      </c>
      <c r="F268" s="5" t="s">
        <v>1093</v>
      </c>
      <c r="G268" s="5" t="s">
        <v>1094</v>
      </c>
      <c r="H268" s="5" t="s">
        <v>39</v>
      </c>
      <c r="I268" s="5" t="s">
        <v>27</v>
      </c>
      <c r="J268" s="5" t="s">
        <v>1095</v>
      </c>
      <c r="K268" s="5" t="s">
        <v>187</v>
      </c>
      <c r="L268" s="5">
        <v>13021</v>
      </c>
      <c r="M268" s="5" t="s">
        <v>125</v>
      </c>
      <c r="N268" s="5" t="s">
        <v>1096</v>
      </c>
      <c r="O268" s="5" t="s">
        <v>32</v>
      </c>
      <c r="P268" s="5" t="s">
        <v>50</v>
      </c>
      <c r="Q268" s="5" t="s">
        <v>1097</v>
      </c>
      <c r="R268" s="5">
        <v>59.519999999999996</v>
      </c>
      <c r="S268" s="5">
        <v>3</v>
      </c>
      <c r="T268" s="5">
        <v>0</v>
      </c>
      <c r="U268" s="5">
        <v>178.56</v>
      </c>
      <c r="V268" s="7">
        <v>15.475200000000001</v>
      </c>
    </row>
    <row r="269" spans="1:22" ht="15.5" x14ac:dyDescent="0.35">
      <c r="A269" s="8">
        <v>449</v>
      </c>
      <c r="B269" s="9" t="s">
        <v>1092</v>
      </c>
      <c r="C269" s="10">
        <v>43922</v>
      </c>
      <c r="D269" s="10">
        <v>43924</v>
      </c>
      <c r="E269" s="9" t="s">
        <v>23</v>
      </c>
      <c r="F269" s="9" t="s">
        <v>1093</v>
      </c>
      <c r="G269" s="9" t="s">
        <v>1094</v>
      </c>
      <c r="H269" s="9" t="s">
        <v>39</v>
      </c>
      <c r="I269" s="9" t="s">
        <v>27</v>
      </c>
      <c r="J269" s="9" t="s">
        <v>1095</v>
      </c>
      <c r="K269" s="9" t="s">
        <v>187</v>
      </c>
      <c r="L269" s="9">
        <v>13021</v>
      </c>
      <c r="M269" s="9" t="s">
        <v>125</v>
      </c>
      <c r="N269" s="9" t="s">
        <v>1098</v>
      </c>
      <c r="O269" s="9" t="s">
        <v>32</v>
      </c>
      <c r="P269" s="9" t="s">
        <v>44</v>
      </c>
      <c r="Q269" s="9" t="s">
        <v>1099</v>
      </c>
      <c r="R269" s="9">
        <v>161.94</v>
      </c>
      <c r="S269" s="9">
        <v>3</v>
      </c>
      <c r="T269" s="9">
        <v>0</v>
      </c>
      <c r="U269" s="9">
        <v>485.82</v>
      </c>
      <c r="V269" s="11">
        <v>9.716399999999993</v>
      </c>
    </row>
    <row r="270" spans="1:22" ht="15.5" x14ac:dyDescent="0.35">
      <c r="A270" s="4">
        <v>450</v>
      </c>
      <c r="B270" s="5" t="s">
        <v>1092</v>
      </c>
      <c r="C270" s="6">
        <v>43922</v>
      </c>
      <c r="D270" s="6">
        <v>43924</v>
      </c>
      <c r="E270" s="5" t="s">
        <v>23</v>
      </c>
      <c r="F270" s="5" t="s">
        <v>1093</v>
      </c>
      <c r="G270" s="5" t="s">
        <v>1094</v>
      </c>
      <c r="H270" s="5" t="s">
        <v>39</v>
      </c>
      <c r="I270" s="5" t="s">
        <v>27</v>
      </c>
      <c r="J270" s="5" t="s">
        <v>1095</v>
      </c>
      <c r="K270" s="5" t="s">
        <v>187</v>
      </c>
      <c r="L270" s="5">
        <v>13021</v>
      </c>
      <c r="M270" s="5" t="s">
        <v>125</v>
      </c>
      <c r="N270" s="5" t="s">
        <v>1100</v>
      </c>
      <c r="O270" s="5" t="s">
        <v>32</v>
      </c>
      <c r="P270" s="5" t="s">
        <v>50</v>
      </c>
      <c r="Q270" s="5" t="s">
        <v>1101</v>
      </c>
      <c r="R270" s="5">
        <v>263.88</v>
      </c>
      <c r="S270" s="5">
        <v>6</v>
      </c>
      <c r="T270" s="5">
        <v>0</v>
      </c>
      <c r="U270" s="5">
        <v>1583.28</v>
      </c>
      <c r="V270" s="7">
        <v>71.247600000000006</v>
      </c>
    </row>
    <row r="271" spans="1:22" ht="15.5" x14ac:dyDescent="0.35">
      <c r="A271" s="8">
        <v>451</v>
      </c>
      <c r="B271" s="9" t="s">
        <v>1092</v>
      </c>
      <c r="C271" s="10">
        <v>43922</v>
      </c>
      <c r="D271" s="10">
        <v>43924</v>
      </c>
      <c r="E271" s="9" t="s">
        <v>23</v>
      </c>
      <c r="F271" s="9" t="s">
        <v>1093</v>
      </c>
      <c r="G271" s="9" t="s">
        <v>1094</v>
      </c>
      <c r="H271" s="9" t="s">
        <v>39</v>
      </c>
      <c r="I271" s="9" t="s">
        <v>27</v>
      </c>
      <c r="J271" s="9" t="s">
        <v>1095</v>
      </c>
      <c r="K271" s="9" t="s">
        <v>187</v>
      </c>
      <c r="L271" s="9">
        <v>13021</v>
      </c>
      <c r="M271" s="9" t="s">
        <v>125</v>
      </c>
      <c r="N271" s="9" t="s">
        <v>1102</v>
      </c>
      <c r="O271" s="9" t="s">
        <v>32</v>
      </c>
      <c r="P271" s="9" t="s">
        <v>50</v>
      </c>
      <c r="Q271" s="9" t="s">
        <v>1103</v>
      </c>
      <c r="R271" s="9">
        <v>30.48</v>
      </c>
      <c r="S271" s="9">
        <v>3</v>
      </c>
      <c r="T271" s="9">
        <v>0</v>
      </c>
      <c r="U271" s="9">
        <v>91.44</v>
      </c>
      <c r="V271" s="11">
        <v>7.9248000000000012</v>
      </c>
    </row>
    <row r="272" spans="1:22" ht="15.5" x14ac:dyDescent="0.35">
      <c r="A272" s="4">
        <v>452</v>
      </c>
      <c r="B272" s="5" t="s">
        <v>1092</v>
      </c>
      <c r="C272" s="6">
        <v>43922</v>
      </c>
      <c r="D272" s="6">
        <v>43924</v>
      </c>
      <c r="E272" s="5" t="s">
        <v>23</v>
      </c>
      <c r="F272" s="5" t="s">
        <v>1093</v>
      </c>
      <c r="G272" s="5" t="s">
        <v>1094</v>
      </c>
      <c r="H272" s="5" t="s">
        <v>39</v>
      </c>
      <c r="I272" s="5" t="s">
        <v>27</v>
      </c>
      <c r="J272" s="5" t="s">
        <v>1095</v>
      </c>
      <c r="K272" s="5" t="s">
        <v>187</v>
      </c>
      <c r="L272" s="5">
        <v>13021</v>
      </c>
      <c r="M272" s="5" t="s">
        <v>125</v>
      </c>
      <c r="N272" s="5" t="s">
        <v>1104</v>
      </c>
      <c r="O272" s="5" t="s">
        <v>32</v>
      </c>
      <c r="P272" s="5" t="s">
        <v>50</v>
      </c>
      <c r="Q272" s="5" t="s">
        <v>1105</v>
      </c>
      <c r="R272" s="5">
        <v>9.84</v>
      </c>
      <c r="S272" s="5">
        <v>3</v>
      </c>
      <c r="T272" s="5">
        <v>0</v>
      </c>
      <c r="U272" s="5">
        <v>29.52</v>
      </c>
      <c r="V272" s="7">
        <v>2.8535999999999988</v>
      </c>
    </row>
    <row r="273" spans="1:22" ht="15.5" x14ac:dyDescent="0.35">
      <c r="A273" s="8">
        <v>455</v>
      </c>
      <c r="B273" s="9" t="s">
        <v>1106</v>
      </c>
      <c r="C273" s="10">
        <v>44489</v>
      </c>
      <c r="D273" s="10">
        <v>44493</v>
      </c>
      <c r="E273" s="9" t="s">
        <v>36</v>
      </c>
      <c r="F273" s="9" t="s">
        <v>1107</v>
      </c>
      <c r="G273" s="9" t="s">
        <v>1108</v>
      </c>
      <c r="H273" s="9" t="s">
        <v>26</v>
      </c>
      <c r="I273" s="9" t="s">
        <v>27</v>
      </c>
      <c r="J273" s="9" t="s">
        <v>581</v>
      </c>
      <c r="K273" s="9" t="s">
        <v>360</v>
      </c>
      <c r="L273" s="9">
        <v>44312</v>
      </c>
      <c r="M273" s="9" t="s">
        <v>125</v>
      </c>
      <c r="N273" s="9" t="s">
        <v>1109</v>
      </c>
      <c r="O273" s="9" t="s">
        <v>32</v>
      </c>
      <c r="P273" s="9" t="s">
        <v>44</v>
      </c>
      <c r="Q273" s="9" t="s">
        <v>1110</v>
      </c>
      <c r="R273" s="9">
        <v>665.40800000000002</v>
      </c>
      <c r="S273" s="9">
        <v>2</v>
      </c>
      <c r="T273" s="9">
        <v>0.2</v>
      </c>
      <c r="U273" s="9">
        <v>1064.6528000000001</v>
      </c>
      <c r="V273" s="11">
        <v>66.540799999999962</v>
      </c>
    </row>
    <row r="274" spans="1:22" ht="15.5" x14ac:dyDescent="0.35">
      <c r="A274" s="4">
        <v>459</v>
      </c>
      <c r="B274" s="5" t="s">
        <v>1111</v>
      </c>
      <c r="C274" s="6">
        <v>44100</v>
      </c>
      <c r="D274" s="6">
        <v>44105</v>
      </c>
      <c r="E274" s="5" t="s">
        <v>36</v>
      </c>
      <c r="F274" s="5" t="s">
        <v>1112</v>
      </c>
      <c r="G274" s="5" t="s">
        <v>1113</v>
      </c>
      <c r="H274" s="5" t="s">
        <v>39</v>
      </c>
      <c r="I274" s="5" t="s">
        <v>27</v>
      </c>
      <c r="J274" s="5" t="s">
        <v>252</v>
      </c>
      <c r="K274" s="5" t="s">
        <v>275</v>
      </c>
      <c r="L274" s="5">
        <v>62521</v>
      </c>
      <c r="M274" s="5" t="s">
        <v>79</v>
      </c>
      <c r="N274" s="5" t="s">
        <v>1114</v>
      </c>
      <c r="O274" s="5" t="s">
        <v>32</v>
      </c>
      <c r="P274" s="5" t="s">
        <v>129</v>
      </c>
      <c r="Q274" s="5" t="s">
        <v>481</v>
      </c>
      <c r="R274" s="5">
        <v>8.9280000000000008</v>
      </c>
      <c r="S274" s="5">
        <v>2</v>
      </c>
      <c r="T274" s="5">
        <v>0.2</v>
      </c>
      <c r="U274" s="5">
        <v>14.284800000000001</v>
      </c>
      <c r="V274" s="7">
        <v>3.3479999999999999</v>
      </c>
    </row>
    <row r="275" spans="1:22" ht="15.5" x14ac:dyDescent="0.35">
      <c r="A275" s="8">
        <v>460</v>
      </c>
      <c r="B275" s="9" t="s">
        <v>1115</v>
      </c>
      <c r="C275" s="10">
        <v>43814</v>
      </c>
      <c r="D275" s="10">
        <v>43821</v>
      </c>
      <c r="E275" s="9" t="s">
        <v>36</v>
      </c>
      <c r="F275" s="9" t="s">
        <v>597</v>
      </c>
      <c r="G275" s="9" t="s">
        <v>598</v>
      </c>
      <c r="H275" s="9" t="s">
        <v>39</v>
      </c>
      <c r="I275" s="9" t="s">
        <v>27</v>
      </c>
      <c r="J275" s="9" t="s">
        <v>69</v>
      </c>
      <c r="K275" s="9" t="s">
        <v>70</v>
      </c>
      <c r="L275" s="9">
        <v>98115</v>
      </c>
      <c r="M275" s="9" t="s">
        <v>30</v>
      </c>
      <c r="N275" s="9" t="s">
        <v>1116</v>
      </c>
      <c r="O275" s="9" t="s">
        <v>32</v>
      </c>
      <c r="P275" s="9" t="s">
        <v>56</v>
      </c>
      <c r="Q275" s="9" t="s">
        <v>1117</v>
      </c>
      <c r="R275" s="9">
        <v>103.92</v>
      </c>
      <c r="S275" s="9">
        <v>4</v>
      </c>
      <c r="T275" s="9">
        <v>0</v>
      </c>
      <c r="U275" s="9">
        <v>415.68</v>
      </c>
      <c r="V275" s="11">
        <v>36.372</v>
      </c>
    </row>
    <row r="276" spans="1:22" ht="15.5" x14ac:dyDescent="0.35">
      <c r="A276" s="4">
        <v>462</v>
      </c>
      <c r="B276" s="5" t="s">
        <v>1115</v>
      </c>
      <c r="C276" s="6">
        <v>43814</v>
      </c>
      <c r="D276" s="6">
        <v>43821</v>
      </c>
      <c r="E276" s="5" t="s">
        <v>36</v>
      </c>
      <c r="F276" s="5" t="s">
        <v>597</v>
      </c>
      <c r="G276" s="5" t="s">
        <v>598</v>
      </c>
      <c r="H276" s="5" t="s">
        <v>39</v>
      </c>
      <c r="I276" s="5" t="s">
        <v>27</v>
      </c>
      <c r="J276" s="5" t="s">
        <v>69</v>
      </c>
      <c r="K276" s="5" t="s">
        <v>70</v>
      </c>
      <c r="L276" s="5">
        <v>98115</v>
      </c>
      <c r="M276" s="5" t="s">
        <v>30</v>
      </c>
      <c r="N276" s="5" t="s">
        <v>1118</v>
      </c>
      <c r="O276" s="5" t="s">
        <v>32</v>
      </c>
      <c r="P276" s="5" t="s">
        <v>53</v>
      </c>
      <c r="Q276" s="5" t="s">
        <v>1119</v>
      </c>
      <c r="R276" s="5">
        <v>51.311999999999998</v>
      </c>
      <c r="S276" s="5">
        <v>3</v>
      </c>
      <c r="T276" s="5">
        <v>0.2</v>
      </c>
      <c r="U276" s="5">
        <v>123.14879999999998</v>
      </c>
      <c r="V276" s="7">
        <v>18.600599999999996</v>
      </c>
    </row>
    <row r="277" spans="1:22" ht="15.5" x14ac:dyDescent="0.35">
      <c r="A277" s="8">
        <v>465</v>
      </c>
      <c r="B277" s="9" t="s">
        <v>1120</v>
      </c>
      <c r="C277" s="10">
        <v>43943</v>
      </c>
      <c r="D277" s="10">
        <v>43950</v>
      </c>
      <c r="E277" s="9" t="s">
        <v>36</v>
      </c>
      <c r="F277" s="9" t="s">
        <v>1121</v>
      </c>
      <c r="G277" s="9" t="s">
        <v>1122</v>
      </c>
      <c r="H277" s="9" t="s">
        <v>76</v>
      </c>
      <c r="I277" s="9" t="s">
        <v>27</v>
      </c>
      <c r="J277" s="9" t="s">
        <v>387</v>
      </c>
      <c r="K277" s="9" t="s">
        <v>216</v>
      </c>
      <c r="L277" s="9">
        <v>85023</v>
      </c>
      <c r="M277" s="9" t="s">
        <v>30</v>
      </c>
      <c r="N277" s="9" t="s">
        <v>1123</v>
      </c>
      <c r="O277" s="9" t="s">
        <v>32</v>
      </c>
      <c r="P277" s="9" t="s">
        <v>53</v>
      </c>
      <c r="Q277" s="9" t="s">
        <v>1124</v>
      </c>
      <c r="R277" s="9">
        <v>28.484999999999999</v>
      </c>
      <c r="S277" s="9">
        <v>5</v>
      </c>
      <c r="T277" s="9">
        <v>0.7</v>
      </c>
      <c r="U277" s="9">
        <v>42.727500000000006</v>
      </c>
      <c r="V277" s="11">
        <v>-20.888999999999989</v>
      </c>
    </row>
    <row r="278" spans="1:22" ht="15.5" x14ac:dyDescent="0.35">
      <c r="A278" s="4">
        <v>466</v>
      </c>
      <c r="B278" s="5" t="s">
        <v>1120</v>
      </c>
      <c r="C278" s="6">
        <v>43943</v>
      </c>
      <c r="D278" s="6">
        <v>43950</v>
      </c>
      <c r="E278" s="5" t="s">
        <v>36</v>
      </c>
      <c r="F278" s="5" t="s">
        <v>1121</v>
      </c>
      <c r="G278" s="5" t="s">
        <v>1122</v>
      </c>
      <c r="H278" s="5" t="s">
        <v>76</v>
      </c>
      <c r="I278" s="5" t="s">
        <v>27</v>
      </c>
      <c r="J278" s="5" t="s">
        <v>387</v>
      </c>
      <c r="K278" s="5" t="s">
        <v>216</v>
      </c>
      <c r="L278" s="5">
        <v>85023</v>
      </c>
      <c r="M278" s="5" t="s">
        <v>30</v>
      </c>
      <c r="N278" s="5" t="s">
        <v>1125</v>
      </c>
      <c r="O278" s="5" t="s">
        <v>32</v>
      </c>
      <c r="P278" s="5" t="s">
        <v>414</v>
      </c>
      <c r="Q278" s="5" t="s">
        <v>1126</v>
      </c>
      <c r="R278" s="5">
        <v>185.376</v>
      </c>
      <c r="S278" s="5">
        <v>2</v>
      </c>
      <c r="T278" s="5">
        <v>0.2</v>
      </c>
      <c r="U278" s="5">
        <v>296.60160000000002</v>
      </c>
      <c r="V278" s="7">
        <v>-34.758000000000017</v>
      </c>
    </row>
    <row r="279" spans="1:22" ht="15.5" x14ac:dyDescent="0.35">
      <c r="A279" s="8">
        <v>467</v>
      </c>
      <c r="B279" s="9" t="s">
        <v>1120</v>
      </c>
      <c r="C279" s="10">
        <v>43943</v>
      </c>
      <c r="D279" s="10">
        <v>43950</v>
      </c>
      <c r="E279" s="9" t="s">
        <v>36</v>
      </c>
      <c r="F279" s="9" t="s">
        <v>1121</v>
      </c>
      <c r="G279" s="9" t="s">
        <v>1122</v>
      </c>
      <c r="H279" s="9" t="s">
        <v>76</v>
      </c>
      <c r="I279" s="9" t="s">
        <v>27</v>
      </c>
      <c r="J279" s="9" t="s">
        <v>387</v>
      </c>
      <c r="K279" s="9" t="s">
        <v>216</v>
      </c>
      <c r="L279" s="9">
        <v>85023</v>
      </c>
      <c r="M279" s="9" t="s">
        <v>30</v>
      </c>
      <c r="N279" s="9" t="s">
        <v>1127</v>
      </c>
      <c r="O279" s="9" t="s">
        <v>32</v>
      </c>
      <c r="P279" s="9" t="s">
        <v>56</v>
      </c>
      <c r="Q279" s="9" t="s">
        <v>1128</v>
      </c>
      <c r="R279" s="9">
        <v>78.272000000000006</v>
      </c>
      <c r="S279" s="9">
        <v>2</v>
      </c>
      <c r="T279" s="9">
        <v>0.2</v>
      </c>
      <c r="U279" s="9">
        <v>125.23520000000001</v>
      </c>
      <c r="V279" s="11">
        <v>5.8704000000000001</v>
      </c>
    </row>
    <row r="280" spans="1:22" ht="15.5" x14ac:dyDescent="0.35">
      <c r="A280" s="4">
        <v>470</v>
      </c>
      <c r="B280" s="5" t="s">
        <v>1129</v>
      </c>
      <c r="C280" s="6">
        <v>44181</v>
      </c>
      <c r="D280" s="6">
        <v>44185</v>
      </c>
      <c r="E280" s="5" t="s">
        <v>23</v>
      </c>
      <c r="F280" s="5" t="s">
        <v>680</v>
      </c>
      <c r="G280" s="5" t="s">
        <v>681</v>
      </c>
      <c r="H280" s="5" t="s">
        <v>39</v>
      </c>
      <c r="I280" s="5" t="s">
        <v>27</v>
      </c>
      <c r="J280" s="5" t="s">
        <v>274</v>
      </c>
      <c r="K280" s="5" t="s">
        <v>275</v>
      </c>
      <c r="L280" s="5">
        <v>60610</v>
      </c>
      <c r="M280" s="5" t="s">
        <v>79</v>
      </c>
      <c r="N280" s="5" t="s">
        <v>1130</v>
      </c>
      <c r="O280" s="5" t="s">
        <v>32</v>
      </c>
      <c r="P280" s="5" t="s">
        <v>53</v>
      </c>
      <c r="Q280" s="5" t="s">
        <v>1131</v>
      </c>
      <c r="R280" s="5">
        <v>4.7879999999999985</v>
      </c>
      <c r="S280" s="5">
        <v>3</v>
      </c>
      <c r="T280" s="5">
        <v>0.8</v>
      </c>
      <c r="U280" s="5">
        <v>2.872799999999998</v>
      </c>
      <c r="V280" s="7">
        <v>-7.9001999999999999</v>
      </c>
    </row>
    <row r="281" spans="1:22" ht="15.5" x14ac:dyDescent="0.35">
      <c r="A281" s="8">
        <v>471</v>
      </c>
      <c r="B281" s="9" t="s">
        <v>1132</v>
      </c>
      <c r="C281" s="10">
        <v>43819</v>
      </c>
      <c r="D281" s="10">
        <v>43823</v>
      </c>
      <c r="E281" s="9" t="s">
        <v>36</v>
      </c>
      <c r="F281" s="9" t="s">
        <v>1133</v>
      </c>
      <c r="G281" s="9" t="s">
        <v>1134</v>
      </c>
      <c r="H281" s="9" t="s">
        <v>26</v>
      </c>
      <c r="I281" s="9" t="s">
        <v>27</v>
      </c>
      <c r="J281" s="9" t="s">
        <v>1135</v>
      </c>
      <c r="K281" s="9" t="s">
        <v>187</v>
      </c>
      <c r="L281" s="9">
        <v>11757</v>
      </c>
      <c r="M281" s="9" t="s">
        <v>125</v>
      </c>
      <c r="N281" s="9" t="s">
        <v>1136</v>
      </c>
      <c r="O281" s="9" t="s">
        <v>32</v>
      </c>
      <c r="P281" s="9" t="s">
        <v>64</v>
      </c>
      <c r="Q281" s="9" t="s">
        <v>1137</v>
      </c>
      <c r="R281" s="9">
        <v>55.48</v>
      </c>
      <c r="S281" s="9">
        <v>1</v>
      </c>
      <c r="T281" s="9">
        <v>0</v>
      </c>
      <c r="U281" s="9">
        <v>55.48</v>
      </c>
      <c r="V281" s="11">
        <v>26.630399999999998</v>
      </c>
    </row>
    <row r="282" spans="1:22" ht="15.5" x14ac:dyDescent="0.35">
      <c r="A282" s="4">
        <v>472</v>
      </c>
      <c r="B282" s="5" t="s">
        <v>1138</v>
      </c>
      <c r="C282" s="6">
        <v>43413</v>
      </c>
      <c r="D282" s="6">
        <v>43415</v>
      </c>
      <c r="E282" s="5" t="s">
        <v>23</v>
      </c>
      <c r="F282" s="5" t="s">
        <v>1139</v>
      </c>
      <c r="G282" s="5" t="s">
        <v>1140</v>
      </c>
      <c r="H282" s="5" t="s">
        <v>39</v>
      </c>
      <c r="I282" s="5" t="s">
        <v>27</v>
      </c>
      <c r="J282" s="5" t="s">
        <v>101</v>
      </c>
      <c r="K282" s="5" t="s">
        <v>29</v>
      </c>
      <c r="L282" s="5">
        <v>94110</v>
      </c>
      <c r="M282" s="5" t="s">
        <v>30</v>
      </c>
      <c r="N282" s="5" t="s">
        <v>1141</v>
      </c>
      <c r="O282" s="5" t="s">
        <v>32</v>
      </c>
      <c r="P282" s="5" t="s">
        <v>44</v>
      </c>
      <c r="Q282" s="5" t="s">
        <v>1142</v>
      </c>
      <c r="R282" s="5">
        <v>340.92</v>
      </c>
      <c r="S282" s="5">
        <v>3</v>
      </c>
      <c r="T282" s="5">
        <v>0</v>
      </c>
      <c r="U282" s="5">
        <v>1022.76</v>
      </c>
      <c r="V282" s="7">
        <v>3.4091999999999842</v>
      </c>
    </row>
    <row r="283" spans="1:22" ht="15.5" x14ac:dyDescent="0.35">
      <c r="A283" s="8">
        <v>475</v>
      </c>
      <c r="B283" s="9" t="s">
        <v>1138</v>
      </c>
      <c r="C283" s="10">
        <v>43413</v>
      </c>
      <c r="D283" s="10">
        <v>43415</v>
      </c>
      <c r="E283" s="9" t="s">
        <v>23</v>
      </c>
      <c r="F283" s="9" t="s">
        <v>1139</v>
      </c>
      <c r="G283" s="9" t="s">
        <v>1140</v>
      </c>
      <c r="H283" s="9" t="s">
        <v>39</v>
      </c>
      <c r="I283" s="9" t="s">
        <v>27</v>
      </c>
      <c r="J283" s="9" t="s">
        <v>101</v>
      </c>
      <c r="K283" s="9" t="s">
        <v>29</v>
      </c>
      <c r="L283" s="9">
        <v>94110</v>
      </c>
      <c r="M283" s="9" t="s">
        <v>30</v>
      </c>
      <c r="N283" s="9" t="s">
        <v>1143</v>
      </c>
      <c r="O283" s="9" t="s">
        <v>32</v>
      </c>
      <c r="P283" s="9" t="s">
        <v>44</v>
      </c>
      <c r="Q283" s="9" t="s">
        <v>1144</v>
      </c>
      <c r="R283" s="9">
        <v>92.52</v>
      </c>
      <c r="S283" s="9">
        <v>6</v>
      </c>
      <c r="T283" s="9">
        <v>0</v>
      </c>
      <c r="U283" s="9">
        <v>555.12</v>
      </c>
      <c r="V283" s="11">
        <v>24.980400000000007</v>
      </c>
    </row>
    <row r="284" spans="1:22" ht="15.5" x14ac:dyDescent="0.35">
      <c r="A284" s="4">
        <v>476</v>
      </c>
      <c r="B284" s="5" t="s">
        <v>1138</v>
      </c>
      <c r="C284" s="6">
        <v>43413</v>
      </c>
      <c r="D284" s="6">
        <v>43415</v>
      </c>
      <c r="E284" s="5" t="s">
        <v>23</v>
      </c>
      <c r="F284" s="5" t="s">
        <v>1139</v>
      </c>
      <c r="G284" s="5" t="s">
        <v>1140</v>
      </c>
      <c r="H284" s="5" t="s">
        <v>39</v>
      </c>
      <c r="I284" s="5" t="s">
        <v>27</v>
      </c>
      <c r="J284" s="5" t="s">
        <v>101</v>
      </c>
      <c r="K284" s="5" t="s">
        <v>29</v>
      </c>
      <c r="L284" s="5">
        <v>94110</v>
      </c>
      <c r="M284" s="5" t="s">
        <v>30</v>
      </c>
      <c r="N284" s="5" t="s">
        <v>1145</v>
      </c>
      <c r="O284" s="5" t="s">
        <v>32</v>
      </c>
      <c r="P284" s="5" t="s">
        <v>64</v>
      </c>
      <c r="Q284" s="5" t="s">
        <v>1146</v>
      </c>
      <c r="R284" s="5">
        <v>62.649999999999991</v>
      </c>
      <c r="S284" s="5">
        <v>7</v>
      </c>
      <c r="T284" s="5">
        <v>0</v>
      </c>
      <c r="U284" s="5">
        <v>438.54999999999995</v>
      </c>
      <c r="V284" s="7">
        <v>28.818999999999996</v>
      </c>
    </row>
    <row r="285" spans="1:22" ht="15.5" x14ac:dyDescent="0.35">
      <c r="A285" s="8">
        <v>477</v>
      </c>
      <c r="B285" s="9" t="s">
        <v>1138</v>
      </c>
      <c r="C285" s="10">
        <v>43413</v>
      </c>
      <c r="D285" s="10">
        <v>43415</v>
      </c>
      <c r="E285" s="9" t="s">
        <v>23</v>
      </c>
      <c r="F285" s="9" t="s">
        <v>1139</v>
      </c>
      <c r="G285" s="9" t="s">
        <v>1140</v>
      </c>
      <c r="H285" s="9" t="s">
        <v>39</v>
      </c>
      <c r="I285" s="9" t="s">
        <v>27</v>
      </c>
      <c r="J285" s="9" t="s">
        <v>101</v>
      </c>
      <c r="K285" s="9" t="s">
        <v>29</v>
      </c>
      <c r="L285" s="9">
        <v>94110</v>
      </c>
      <c r="M285" s="9" t="s">
        <v>30</v>
      </c>
      <c r="N285" s="9" t="s">
        <v>1147</v>
      </c>
      <c r="O285" s="9" t="s">
        <v>32</v>
      </c>
      <c r="P285" s="9" t="s">
        <v>64</v>
      </c>
      <c r="Q285" s="9" t="s">
        <v>1148</v>
      </c>
      <c r="R285" s="9">
        <v>94.85</v>
      </c>
      <c r="S285" s="9">
        <v>5</v>
      </c>
      <c r="T285" s="9">
        <v>0</v>
      </c>
      <c r="U285" s="9">
        <v>474.25</v>
      </c>
      <c r="V285" s="11">
        <v>45.527999999999992</v>
      </c>
    </row>
    <row r="286" spans="1:22" ht="15.5" x14ac:dyDescent="0.35">
      <c r="A286" s="4">
        <v>480</v>
      </c>
      <c r="B286" s="5" t="s">
        <v>1149</v>
      </c>
      <c r="C286" s="6">
        <v>44008</v>
      </c>
      <c r="D286" s="6">
        <v>44014</v>
      </c>
      <c r="E286" s="5" t="s">
        <v>36</v>
      </c>
      <c r="F286" s="5" t="s">
        <v>1150</v>
      </c>
      <c r="G286" s="5" t="s">
        <v>1151</v>
      </c>
      <c r="H286" s="5" t="s">
        <v>26</v>
      </c>
      <c r="I286" s="5" t="s">
        <v>27</v>
      </c>
      <c r="J286" s="5" t="s">
        <v>186</v>
      </c>
      <c r="K286" s="5" t="s">
        <v>187</v>
      </c>
      <c r="L286" s="5">
        <v>10024</v>
      </c>
      <c r="M286" s="5" t="s">
        <v>125</v>
      </c>
      <c r="N286" s="5" t="s">
        <v>1152</v>
      </c>
      <c r="O286" s="5" t="s">
        <v>32</v>
      </c>
      <c r="P286" s="5" t="s">
        <v>50</v>
      </c>
      <c r="Q286" s="5" t="s">
        <v>1153</v>
      </c>
      <c r="R286" s="5">
        <v>14.7</v>
      </c>
      <c r="S286" s="5">
        <v>5</v>
      </c>
      <c r="T286" s="5">
        <v>0</v>
      </c>
      <c r="U286" s="5">
        <v>73.5</v>
      </c>
      <c r="V286" s="7">
        <v>6.6150000000000002</v>
      </c>
    </row>
    <row r="287" spans="1:22" ht="15.5" x14ac:dyDescent="0.35">
      <c r="A287" s="8">
        <v>481</v>
      </c>
      <c r="B287" s="9" t="s">
        <v>1149</v>
      </c>
      <c r="C287" s="10">
        <v>44008</v>
      </c>
      <c r="D287" s="10">
        <v>44014</v>
      </c>
      <c r="E287" s="9" t="s">
        <v>36</v>
      </c>
      <c r="F287" s="9" t="s">
        <v>1150</v>
      </c>
      <c r="G287" s="9" t="s">
        <v>1151</v>
      </c>
      <c r="H287" s="9" t="s">
        <v>26</v>
      </c>
      <c r="I287" s="9" t="s">
        <v>27</v>
      </c>
      <c r="J287" s="9" t="s">
        <v>186</v>
      </c>
      <c r="K287" s="9" t="s">
        <v>187</v>
      </c>
      <c r="L287" s="9">
        <v>10024</v>
      </c>
      <c r="M287" s="9" t="s">
        <v>125</v>
      </c>
      <c r="N287" s="9" t="s">
        <v>1154</v>
      </c>
      <c r="O287" s="9" t="s">
        <v>32</v>
      </c>
      <c r="P287" s="9" t="s">
        <v>44</v>
      </c>
      <c r="Q287" s="9" t="s">
        <v>1155</v>
      </c>
      <c r="R287" s="9">
        <v>704.25</v>
      </c>
      <c r="S287" s="9">
        <v>5</v>
      </c>
      <c r="T287" s="9">
        <v>0</v>
      </c>
      <c r="U287" s="9">
        <v>3521.25</v>
      </c>
      <c r="V287" s="11">
        <v>84.51</v>
      </c>
    </row>
    <row r="288" spans="1:22" ht="15.5" x14ac:dyDescent="0.35">
      <c r="A288" s="4">
        <v>483</v>
      </c>
      <c r="B288" s="5" t="s">
        <v>1156</v>
      </c>
      <c r="C288" s="6">
        <v>43303</v>
      </c>
      <c r="D288" s="6">
        <v>43308</v>
      </c>
      <c r="E288" s="5" t="s">
        <v>36</v>
      </c>
      <c r="F288" s="5" t="s">
        <v>1157</v>
      </c>
      <c r="G288" s="5" t="s">
        <v>1158</v>
      </c>
      <c r="H288" s="5" t="s">
        <v>39</v>
      </c>
      <c r="I288" s="5" t="s">
        <v>27</v>
      </c>
      <c r="J288" s="5" t="s">
        <v>186</v>
      </c>
      <c r="K288" s="5" t="s">
        <v>187</v>
      </c>
      <c r="L288" s="5">
        <v>10024</v>
      </c>
      <c r="M288" s="5" t="s">
        <v>125</v>
      </c>
      <c r="N288" s="5" t="s">
        <v>261</v>
      </c>
      <c r="O288" s="5" t="s">
        <v>32</v>
      </c>
      <c r="P288" s="5" t="s">
        <v>50</v>
      </c>
      <c r="Q288" s="5" t="s">
        <v>262</v>
      </c>
      <c r="R288" s="5">
        <v>5.96</v>
      </c>
      <c r="S288" s="5">
        <v>2</v>
      </c>
      <c r="T288" s="5">
        <v>0</v>
      </c>
      <c r="U288" s="5">
        <v>11.92</v>
      </c>
      <c r="V288" s="7">
        <v>1.6688000000000001</v>
      </c>
    </row>
    <row r="289" spans="1:22" ht="15.5" x14ac:dyDescent="0.35">
      <c r="A289" s="8">
        <v>485</v>
      </c>
      <c r="B289" s="9" t="s">
        <v>1159</v>
      </c>
      <c r="C289" s="10">
        <v>44357</v>
      </c>
      <c r="D289" s="10">
        <v>44360</v>
      </c>
      <c r="E289" s="9" t="s">
        <v>160</v>
      </c>
      <c r="F289" s="9" t="s">
        <v>1160</v>
      </c>
      <c r="G289" s="9" t="s">
        <v>1161</v>
      </c>
      <c r="H289" s="9" t="s">
        <v>76</v>
      </c>
      <c r="I289" s="9" t="s">
        <v>27</v>
      </c>
      <c r="J289" s="9" t="s">
        <v>28</v>
      </c>
      <c r="K289" s="9" t="s">
        <v>29</v>
      </c>
      <c r="L289" s="9">
        <v>90045</v>
      </c>
      <c r="M289" s="9" t="s">
        <v>30</v>
      </c>
      <c r="N289" s="9" t="s">
        <v>1162</v>
      </c>
      <c r="O289" s="9" t="s">
        <v>32</v>
      </c>
      <c r="P289" s="9" t="s">
        <v>33</v>
      </c>
      <c r="Q289" s="9" t="s">
        <v>1163</v>
      </c>
      <c r="R289" s="9">
        <v>29.6</v>
      </c>
      <c r="S289" s="9">
        <v>2</v>
      </c>
      <c r="T289" s="9">
        <v>0</v>
      </c>
      <c r="U289" s="9">
        <v>59.2</v>
      </c>
      <c r="V289" s="11">
        <v>14.8</v>
      </c>
    </row>
    <row r="290" spans="1:22" ht="15.5" x14ac:dyDescent="0.35">
      <c r="A290" s="4">
        <v>491</v>
      </c>
      <c r="B290" s="5" t="s">
        <v>1164</v>
      </c>
      <c r="C290" s="6">
        <v>43260</v>
      </c>
      <c r="D290" s="6">
        <v>43264</v>
      </c>
      <c r="E290" s="5" t="s">
        <v>23</v>
      </c>
      <c r="F290" s="5" t="s">
        <v>1165</v>
      </c>
      <c r="G290" s="5" t="s">
        <v>1166</v>
      </c>
      <c r="H290" s="5" t="s">
        <v>76</v>
      </c>
      <c r="I290" s="5" t="s">
        <v>27</v>
      </c>
      <c r="J290" s="5" t="s">
        <v>1167</v>
      </c>
      <c r="K290" s="5" t="s">
        <v>78</v>
      </c>
      <c r="L290" s="5">
        <v>77340</v>
      </c>
      <c r="M290" s="5" t="s">
        <v>79</v>
      </c>
      <c r="N290" s="5" t="s">
        <v>1100</v>
      </c>
      <c r="O290" s="5" t="s">
        <v>32</v>
      </c>
      <c r="P290" s="5" t="s">
        <v>50</v>
      </c>
      <c r="Q290" s="5" t="s">
        <v>1101</v>
      </c>
      <c r="R290" s="5">
        <v>70.367999999999995</v>
      </c>
      <c r="S290" s="5">
        <v>2</v>
      </c>
      <c r="T290" s="5">
        <v>0.2</v>
      </c>
      <c r="U290" s="5">
        <v>112.58879999999999</v>
      </c>
      <c r="V290" s="7">
        <v>6.1572000000000031</v>
      </c>
    </row>
    <row r="291" spans="1:22" ht="15.5" x14ac:dyDescent="0.35">
      <c r="A291" s="8">
        <v>492</v>
      </c>
      <c r="B291" s="9" t="s">
        <v>1168</v>
      </c>
      <c r="C291" s="10">
        <v>43357</v>
      </c>
      <c r="D291" s="10">
        <v>43362</v>
      </c>
      <c r="E291" s="9" t="s">
        <v>36</v>
      </c>
      <c r="F291" s="9" t="s">
        <v>1169</v>
      </c>
      <c r="G291" s="9" t="s">
        <v>1170</v>
      </c>
      <c r="H291" s="9" t="s">
        <v>39</v>
      </c>
      <c r="I291" s="9" t="s">
        <v>27</v>
      </c>
      <c r="J291" s="9" t="s">
        <v>281</v>
      </c>
      <c r="K291" s="9" t="s">
        <v>187</v>
      </c>
      <c r="L291" s="9">
        <v>14609</v>
      </c>
      <c r="M291" s="9" t="s">
        <v>125</v>
      </c>
      <c r="N291" s="9" t="s">
        <v>1171</v>
      </c>
      <c r="O291" s="9" t="s">
        <v>32</v>
      </c>
      <c r="P291" s="9" t="s">
        <v>44</v>
      </c>
      <c r="Q291" s="9" t="s">
        <v>1172</v>
      </c>
      <c r="R291" s="9">
        <v>449.15</v>
      </c>
      <c r="S291" s="9">
        <v>5</v>
      </c>
      <c r="T291" s="9">
        <v>0</v>
      </c>
      <c r="U291" s="9">
        <v>2245.75</v>
      </c>
      <c r="V291" s="11">
        <v>8.9829999999999899</v>
      </c>
    </row>
    <row r="292" spans="1:22" ht="15.5" x14ac:dyDescent="0.35">
      <c r="A292" s="4">
        <v>493</v>
      </c>
      <c r="B292" s="5" t="s">
        <v>1168</v>
      </c>
      <c r="C292" s="6">
        <v>43357</v>
      </c>
      <c r="D292" s="6">
        <v>43362</v>
      </c>
      <c r="E292" s="5" t="s">
        <v>36</v>
      </c>
      <c r="F292" s="5" t="s">
        <v>1169</v>
      </c>
      <c r="G292" s="5" t="s">
        <v>1170</v>
      </c>
      <c r="H292" s="5" t="s">
        <v>39</v>
      </c>
      <c r="I292" s="5" t="s">
        <v>27</v>
      </c>
      <c r="J292" s="5" t="s">
        <v>281</v>
      </c>
      <c r="K292" s="5" t="s">
        <v>187</v>
      </c>
      <c r="L292" s="5">
        <v>14609</v>
      </c>
      <c r="M292" s="5" t="s">
        <v>125</v>
      </c>
      <c r="N292" s="5" t="s">
        <v>1173</v>
      </c>
      <c r="O292" s="5" t="s">
        <v>32</v>
      </c>
      <c r="P292" s="5" t="s">
        <v>129</v>
      </c>
      <c r="Q292" s="5" t="s">
        <v>1174</v>
      </c>
      <c r="R292" s="5">
        <v>11.07</v>
      </c>
      <c r="S292" s="5">
        <v>3</v>
      </c>
      <c r="T292" s="5">
        <v>0</v>
      </c>
      <c r="U292" s="5">
        <v>33.21</v>
      </c>
      <c r="V292" s="7">
        <v>5.0921999999999992</v>
      </c>
    </row>
    <row r="293" spans="1:22" ht="15.5" x14ac:dyDescent="0.35">
      <c r="A293" s="8">
        <v>496</v>
      </c>
      <c r="B293" s="9" t="s">
        <v>1175</v>
      </c>
      <c r="C293" s="10">
        <v>43826</v>
      </c>
      <c r="D293" s="10">
        <v>43830</v>
      </c>
      <c r="E293" s="9" t="s">
        <v>36</v>
      </c>
      <c r="F293" s="9" t="s">
        <v>1176</v>
      </c>
      <c r="G293" s="9" t="s">
        <v>1177</v>
      </c>
      <c r="H293" s="9" t="s">
        <v>39</v>
      </c>
      <c r="I293" s="9" t="s">
        <v>27</v>
      </c>
      <c r="J293" s="9" t="s">
        <v>1178</v>
      </c>
      <c r="K293" s="9" t="s">
        <v>1179</v>
      </c>
      <c r="L293" s="9">
        <v>72701</v>
      </c>
      <c r="M293" s="9" t="s">
        <v>42</v>
      </c>
      <c r="N293" s="9" t="s">
        <v>1180</v>
      </c>
      <c r="O293" s="9" t="s">
        <v>32</v>
      </c>
      <c r="P293" s="9" t="s">
        <v>129</v>
      </c>
      <c r="Q293" s="9" t="s">
        <v>1181</v>
      </c>
      <c r="R293" s="9">
        <v>105.42</v>
      </c>
      <c r="S293" s="9">
        <v>2</v>
      </c>
      <c r="T293" s="9">
        <v>0</v>
      </c>
      <c r="U293" s="9">
        <v>210.84</v>
      </c>
      <c r="V293" s="11">
        <v>51.655799999999999</v>
      </c>
    </row>
    <row r="294" spans="1:22" ht="15.5" x14ac:dyDescent="0.35">
      <c r="A294" s="4">
        <v>497</v>
      </c>
      <c r="B294" s="5" t="s">
        <v>1182</v>
      </c>
      <c r="C294" s="6">
        <v>44037</v>
      </c>
      <c r="D294" s="6">
        <v>44043</v>
      </c>
      <c r="E294" s="5" t="s">
        <v>36</v>
      </c>
      <c r="F294" s="5" t="s">
        <v>1183</v>
      </c>
      <c r="G294" s="5" t="s">
        <v>1184</v>
      </c>
      <c r="H294" s="5" t="s">
        <v>39</v>
      </c>
      <c r="I294" s="5" t="s">
        <v>27</v>
      </c>
      <c r="J294" s="5" t="s">
        <v>1185</v>
      </c>
      <c r="K294" s="5" t="s">
        <v>29</v>
      </c>
      <c r="L294" s="5">
        <v>92627</v>
      </c>
      <c r="M294" s="5" t="s">
        <v>30</v>
      </c>
      <c r="N294" s="5" t="s">
        <v>1186</v>
      </c>
      <c r="O294" s="5" t="s">
        <v>32</v>
      </c>
      <c r="P294" s="5" t="s">
        <v>53</v>
      </c>
      <c r="Q294" s="5" t="s">
        <v>1187</v>
      </c>
      <c r="R294" s="5">
        <v>119.61600000000001</v>
      </c>
      <c r="S294" s="5">
        <v>8</v>
      </c>
      <c r="T294" s="5">
        <v>0.2</v>
      </c>
      <c r="U294" s="5">
        <v>765.54240000000004</v>
      </c>
      <c r="V294" s="7">
        <v>40.370399999999997</v>
      </c>
    </row>
    <row r="295" spans="1:22" ht="15.5" x14ac:dyDescent="0.35">
      <c r="A295" s="8">
        <v>501</v>
      </c>
      <c r="B295" s="9" t="s">
        <v>1188</v>
      </c>
      <c r="C295" s="10">
        <v>43981</v>
      </c>
      <c r="D295" s="10">
        <v>43986</v>
      </c>
      <c r="E295" s="9" t="s">
        <v>36</v>
      </c>
      <c r="F295" s="9" t="s">
        <v>1189</v>
      </c>
      <c r="G295" s="9" t="s">
        <v>1190</v>
      </c>
      <c r="H295" s="9" t="s">
        <v>26</v>
      </c>
      <c r="I295" s="9" t="s">
        <v>27</v>
      </c>
      <c r="J295" s="9" t="s">
        <v>1191</v>
      </c>
      <c r="K295" s="9" t="s">
        <v>338</v>
      </c>
      <c r="L295" s="9">
        <v>80134</v>
      </c>
      <c r="M295" s="9" t="s">
        <v>30</v>
      </c>
      <c r="N295" s="9" t="s">
        <v>1192</v>
      </c>
      <c r="O295" s="9" t="s">
        <v>32</v>
      </c>
      <c r="P295" s="9" t="s">
        <v>53</v>
      </c>
      <c r="Q295" s="9" t="s">
        <v>1193</v>
      </c>
      <c r="R295" s="9">
        <v>22.620000000000005</v>
      </c>
      <c r="S295" s="9">
        <v>2</v>
      </c>
      <c r="T295" s="9">
        <v>0.7</v>
      </c>
      <c r="U295" s="9">
        <v>13.572000000000006</v>
      </c>
      <c r="V295" s="11">
        <v>-15.079999999999998</v>
      </c>
    </row>
    <row r="296" spans="1:22" ht="15.5" x14ac:dyDescent="0.35">
      <c r="A296" s="4">
        <v>502</v>
      </c>
      <c r="B296" s="5" t="s">
        <v>1188</v>
      </c>
      <c r="C296" s="6">
        <v>43981</v>
      </c>
      <c r="D296" s="6">
        <v>43986</v>
      </c>
      <c r="E296" s="5" t="s">
        <v>36</v>
      </c>
      <c r="F296" s="5" t="s">
        <v>1189</v>
      </c>
      <c r="G296" s="5" t="s">
        <v>1190</v>
      </c>
      <c r="H296" s="5" t="s">
        <v>26</v>
      </c>
      <c r="I296" s="5" t="s">
        <v>27</v>
      </c>
      <c r="J296" s="5" t="s">
        <v>1191</v>
      </c>
      <c r="K296" s="5" t="s">
        <v>338</v>
      </c>
      <c r="L296" s="5">
        <v>80134</v>
      </c>
      <c r="M296" s="5" t="s">
        <v>30</v>
      </c>
      <c r="N296" s="5" t="s">
        <v>1194</v>
      </c>
      <c r="O296" s="5" t="s">
        <v>32</v>
      </c>
      <c r="P296" s="5" t="s">
        <v>53</v>
      </c>
      <c r="Q296" s="5" t="s">
        <v>1195</v>
      </c>
      <c r="R296" s="5">
        <v>14.952000000000004</v>
      </c>
      <c r="S296" s="5">
        <v>2</v>
      </c>
      <c r="T296" s="5">
        <v>0.7</v>
      </c>
      <c r="U296" s="5">
        <v>8.9712000000000032</v>
      </c>
      <c r="V296" s="7">
        <v>-11.961599999999997</v>
      </c>
    </row>
    <row r="297" spans="1:22" ht="15.5" x14ac:dyDescent="0.35">
      <c r="A297" s="8">
        <v>504</v>
      </c>
      <c r="B297" s="9" t="s">
        <v>1188</v>
      </c>
      <c r="C297" s="10">
        <v>43981</v>
      </c>
      <c r="D297" s="10">
        <v>43986</v>
      </c>
      <c r="E297" s="9" t="s">
        <v>36</v>
      </c>
      <c r="F297" s="9" t="s">
        <v>1189</v>
      </c>
      <c r="G297" s="9" t="s">
        <v>1190</v>
      </c>
      <c r="H297" s="9" t="s">
        <v>26</v>
      </c>
      <c r="I297" s="9" t="s">
        <v>27</v>
      </c>
      <c r="J297" s="9" t="s">
        <v>1191</v>
      </c>
      <c r="K297" s="9" t="s">
        <v>338</v>
      </c>
      <c r="L297" s="9">
        <v>80134</v>
      </c>
      <c r="M297" s="9" t="s">
        <v>30</v>
      </c>
      <c r="N297" s="9" t="s">
        <v>1196</v>
      </c>
      <c r="O297" s="9" t="s">
        <v>32</v>
      </c>
      <c r="P297" s="9" t="s">
        <v>53</v>
      </c>
      <c r="Q297" s="9" t="s">
        <v>1197</v>
      </c>
      <c r="R297" s="9">
        <v>2.3760000000000003</v>
      </c>
      <c r="S297" s="9">
        <v>3</v>
      </c>
      <c r="T297" s="9">
        <v>0.7</v>
      </c>
      <c r="U297" s="9">
        <v>2.1384000000000007</v>
      </c>
      <c r="V297" s="11">
        <v>-1.9007999999999998</v>
      </c>
    </row>
    <row r="298" spans="1:22" ht="15.5" x14ac:dyDescent="0.35">
      <c r="A298" s="4">
        <v>505</v>
      </c>
      <c r="B298" s="5" t="s">
        <v>1188</v>
      </c>
      <c r="C298" s="6">
        <v>43981</v>
      </c>
      <c r="D298" s="6">
        <v>43986</v>
      </c>
      <c r="E298" s="5" t="s">
        <v>36</v>
      </c>
      <c r="F298" s="5" t="s">
        <v>1189</v>
      </c>
      <c r="G298" s="5" t="s">
        <v>1190</v>
      </c>
      <c r="H298" s="5" t="s">
        <v>26</v>
      </c>
      <c r="I298" s="5" t="s">
        <v>27</v>
      </c>
      <c r="J298" s="5" t="s">
        <v>1191</v>
      </c>
      <c r="K298" s="5" t="s">
        <v>338</v>
      </c>
      <c r="L298" s="5">
        <v>80134</v>
      </c>
      <c r="M298" s="5" t="s">
        <v>30</v>
      </c>
      <c r="N298" s="5" t="s">
        <v>1198</v>
      </c>
      <c r="O298" s="5" t="s">
        <v>32</v>
      </c>
      <c r="P298" s="5" t="s">
        <v>64</v>
      </c>
      <c r="Q298" s="5" t="s">
        <v>1199</v>
      </c>
      <c r="R298" s="5">
        <v>32.792000000000002</v>
      </c>
      <c r="S298" s="5">
        <v>1</v>
      </c>
      <c r="T298" s="5">
        <v>0.2</v>
      </c>
      <c r="U298" s="5">
        <v>26.233600000000003</v>
      </c>
      <c r="V298" s="7">
        <v>11.8871</v>
      </c>
    </row>
    <row r="299" spans="1:22" ht="15.5" x14ac:dyDescent="0.35">
      <c r="A299" s="8">
        <v>506</v>
      </c>
      <c r="B299" s="9" t="s">
        <v>1200</v>
      </c>
      <c r="C299" s="10">
        <v>44512</v>
      </c>
      <c r="D299" s="10">
        <v>44515</v>
      </c>
      <c r="E299" s="9" t="s">
        <v>23</v>
      </c>
      <c r="F299" s="9" t="s">
        <v>1107</v>
      </c>
      <c r="G299" s="9" t="s">
        <v>1108</v>
      </c>
      <c r="H299" s="9" t="s">
        <v>26</v>
      </c>
      <c r="I299" s="9" t="s">
        <v>27</v>
      </c>
      <c r="J299" s="9" t="s">
        <v>186</v>
      </c>
      <c r="K299" s="9" t="s">
        <v>187</v>
      </c>
      <c r="L299" s="9">
        <v>10024</v>
      </c>
      <c r="M299" s="9" t="s">
        <v>125</v>
      </c>
      <c r="N299" s="9" t="s">
        <v>388</v>
      </c>
      <c r="O299" s="9" t="s">
        <v>32</v>
      </c>
      <c r="P299" s="9" t="s">
        <v>53</v>
      </c>
      <c r="Q299" s="9" t="s">
        <v>389</v>
      </c>
      <c r="R299" s="9">
        <v>15.920000000000002</v>
      </c>
      <c r="S299" s="9">
        <v>5</v>
      </c>
      <c r="T299" s="9">
        <v>0.2</v>
      </c>
      <c r="U299" s="9">
        <v>63.680000000000007</v>
      </c>
      <c r="V299" s="11">
        <v>5.3729999999999993</v>
      </c>
    </row>
    <row r="300" spans="1:22" ht="15.5" x14ac:dyDescent="0.35">
      <c r="A300" s="4">
        <v>507</v>
      </c>
      <c r="B300" s="5" t="s">
        <v>1201</v>
      </c>
      <c r="C300" s="6">
        <v>43540</v>
      </c>
      <c r="D300" s="6">
        <v>43546</v>
      </c>
      <c r="E300" s="5" t="s">
        <v>36</v>
      </c>
      <c r="F300" s="5" t="s">
        <v>1202</v>
      </c>
      <c r="G300" s="5" t="s">
        <v>1203</v>
      </c>
      <c r="H300" s="5" t="s">
        <v>39</v>
      </c>
      <c r="I300" s="5" t="s">
        <v>27</v>
      </c>
      <c r="J300" s="5" t="s">
        <v>1204</v>
      </c>
      <c r="K300" s="5" t="s">
        <v>894</v>
      </c>
      <c r="L300" s="5">
        <v>30318</v>
      </c>
      <c r="M300" s="5" t="s">
        <v>42</v>
      </c>
      <c r="N300" s="5" t="s">
        <v>1205</v>
      </c>
      <c r="O300" s="5" t="s">
        <v>32</v>
      </c>
      <c r="P300" s="5" t="s">
        <v>50</v>
      </c>
      <c r="Q300" s="5" t="s">
        <v>1206</v>
      </c>
      <c r="R300" s="5">
        <v>2.74</v>
      </c>
      <c r="S300" s="5">
        <v>1</v>
      </c>
      <c r="T300" s="5">
        <v>0</v>
      </c>
      <c r="U300" s="5">
        <v>2.74</v>
      </c>
      <c r="V300" s="7">
        <v>0.73980000000000024</v>
      </c>
    </row>
    <row r="301" spans="1:22" ht="15.5" x14ac:dyDescent="0.35">
      <c r="A301" s="8">
        <v>508</v>
      </c>
      <c r="B301" s="9" t="s">
        <v>1201</v>
      </c>
      <c r="C301" s="10">
        <v>43540</v>
      </c>
      <c r="D301" s="10">
        <v>43546</v>
      </c>
      <c r="E301" s="9" t="s">
        <v>36</v>
      </c>
      <c r="F301" s="9" t="s">
        <v>1202</v>
      </c>
      <c r="G301" s="9" t="s">
        <v>1203</v>
      </c>
      <c r="H301" s="9" t="s">
        <v>39</v>
      </c>
      <c r="I301" s="9" t="s">
        <v>27</v>
      </c>
      <c r="J301" s="9" t="s">
        <v>1204</v>
      </c>
      <c r="K301" s="9" t="s">
        <v>894</v>
      </c>
      <c r="L301" s="9">
        <v>30318</v>
      </c>
      <c r="M301" s="9" t="s">
        <v>42</v>
      </c>
      <c r="N301" s="9" t="s">
        <v>1207</v>
      </c>
      <c r="O301" s="9" t="s">
        <v>32</v>
      </c>
      <c r="P301" s="9" t="s">
        <v>50</v>
      </c>
      <c r="Q301" s="9" t="s">
        <v>1208</v>
      </c>
      <c r="R301" s="9">
        <v>8.34</v>
      </c>
      <c r="S301" s="9">
        <v>3</v>
      </c>
      <c r="T301" s="9">
        <v>0</v>
      </c>
      <c r="U301" s="9">
        <v>25.02</v>
      </c>
      <c r="V301" s="11">
        <v>2.1683999999999997</v>
      </c>
    </row>
    <row r="302" spans="1:22" ht="15.5" x14ac:dyDescent="0.35">
      <c r="A302" s="4">
        <v>509</v>
      </c>
      <c r="B302" s="5" t="s">
        <v>1201</v>
      </c>
      <c r="C302" s="6">
        <v>43540</v>
      </c>
      <c r="D302" s="6">
        <v>43546</v>
      </c>
      <c r="E302" s="5" t="s">
        <v>36</v>
      </c>
      <c r="F302" s="5" t="s">
        <v>1202</v>
      </c>
      <c r="G302" s="5" t="s">
        <v>1203</v>
      </c>
      <c r="H302" s="5" t="s">
        <v>39</v>
      </c>
      <c r="I302" s="5" t="s">
        <v>27</v>
      </c>
      <c r="J302" s="5" t="s">
        <v>1204</v>
      </c>
      <c r="K302" s="5" t="s">
        <v>894</v>
      </c>
      <c r="L302" s="5">
        <v>30318</v>
      </c>
      <c r="M302" s="5" t="s">
        <v>42</v>
      </c>
      <c r="N302" s="5" t="s">
        <v>670</v>
      </c>
      <c r="O302" s="5" t="s">
        <v>32</v>
      </c>
      <c r="P302" s="5" t="s">
        <v>44</v>
      </c>
      <c r="Q302" s="5" t="s">
        <v>1209</v>
      </c>
      <c r="R302" s="5">
        <v>46.74</v>
      </c>
      <c r="S302" s="5">
        <v>3</v>
      </c>
      <c r="T302" s="5">
        <v>0</v>
      </c>
      <c r="U302" s="5">
        <v>140.22</v>
      </c>
      <c r="V302" s="7">
        <v>11.684999999999999</v>
      </c>
    </row>
    <row r="303" spans="1:22" ht="15.5" x14ac:dyDescent="0.35">
      <c r="A303" s="8">
        <v>510</v>
      </c>
      <c r="B303" s="9" t="s">
        <v>1201</v>
      </c>
      <c r="C303" s="10">
        <v>43540</v>
      </c>
      <c r="D303" s="10">
        <v>43546</v>
      </c>
      <c r="E303" s="9" t="s">
        <v>36</v>
      </c>
      <c r="F303" s="9" t="s">
        <v>1202</v>
      </c>
      <c r="G303" s="9" t="s">
        <v>1203</v>
      </c>
      <c r="H303" s="9" t="s">
        <v>39</v>
      </c>
      <c r="I303" s="9" t="s">
        <v>27</v>
      </c>
      <c r="J303" s="9" t="s">
        <v>1204</v>
      </c>
      <c r="K303" s="9" t="s">
        <v>894</v>
      </c>
      <c r="L303" s="9">
        <v>30318</v>
      </c>
      <c r="M303" s="9" t="s">
        <v>42</v>
      </c>
      <c r="N303" s="9" t="s">
        <v>1210</v>
      </c>
      <c r="O303" s="9" t="s">
        <v>32</v>
      </c>
      <c r="P303" s="9" t="s">
        <v>53</v>
      </c>
      <c r="Q303" s="9" t="s">
        <v>1211</v>
      </c>
      <c r="R303" s="9">
        <v>6354.95</v>
      </c>
      <c r="S303" s="9">
        <v>5</v>
      </c>
      <c r="T303" s="9">
        <v>0</v>
      </c>
      <c r="U303" s="9">
        <v>31774.75</v>
      </c>
      <c r="V303" s="11">
        <v>3177.4749999999999</v>
      </c>
    </row>
    <row r="304" spans="1:22" ht="15.5" x14ac:dyDescent="0.35">
      <c r="A304" s="4">
        <v>513</v>
      </c>
      <c r="B304" s="5" t="s">
        <v>1212</v>
      </c>
      <c r="C304" s="6">
        <v>44124</v>
      </c>
      <c r="D304" s="6">
        <v>44127</v>
      </c>
      <c r="E304" s="5" t="s">
        <v>160</v>
      </c>
      <c r="F304" s="5" t="s">
        <v>997</v>
      </c>
      <c r="G304" s="5" t="s">
        <v>998</v>
      </c>
      <c r="H304" s="5" t="s">
        <v>39</v>
      </c>
      <c r="I304" s="5" t="s">
        <v>27</v>
      </c>
      <c r="J304" s="5" t="s">
        <v>519</v>
      </c>
      <c r="K304" s="5" t="s">
        <v>360</v>
      </c>
      <c r="L304" s="5">
        <v>43055</v>
      </c>
      <c r="M304" s="5" t="s">
        <v>125</v>
      </c>
      <c r="N304" s="5" t="s">
        <v>261</v>
      </c>
      <c r="O304" s="5" t="s">
        <v>32</v>
      </c>
      <c r="P304" s="5" t="s">
        <v>50</v>
      </c>
      <c r="Q304" s="5" t="s">
        <v>262</v>
      </c>
      <c r="R304" s="5">
        <v>7.1519999999999992</v>
      </c>
      <c r="S304" s="5">
        <v>3</v>
      </c>
      <c r="T304" s="5">
        <v>0.2</v>
      </c>
      <c r="U304" s="5">
        <v>17.164799999999996</v>
      </c>
      <c r="V304" s="7">
        <v>0.71520000000000028</v>
      </c>
    </row>
    <row r="305" spans="1:22" ht="15.5" x14ac:dyDescent="0.35">
      <c r="A305" s="8">
        <v>514</v>
      </c>
      <c r="B305" s="9" t="s">
        <v>1213</v>
      </c>
      <c r="C305" s="10">
        <v>44551</v>
      </c>
      <c r="D305" s="10">
        <v>44555</v>
      </c>
      <c r="E305" s="9" t="s">
        <v>36</v>
      </c>
      <c r="F305" s="9" t="s">
        <v>1214</v>
      </c>
      <c r="G305" s="9" t="s">
        <v>1215</v>
      </c>
      <c r="H305" s="9" t="s">
        <v>39</v>
      </c>
      <c r="I305" s="9" t="s">
        <v>27</v>
      </c>
      <c r="J305" s="9" t="s">
        <v>28</v>
      </c>
      <c r="K305" s="9" t="s">
        <v>29</v>
      </c>
      <c r="L305" s="9">
        <v>90049</v>
      </c>
      <c r="M305" s="9" t="s">
        <v>30</v>
      </c>
      <c r="N305" s="9" t="s">
        <v>1216</v>
      </c>
      <c r="O305" s="9" t="s">
        <v>32</v>
      </c>
      <c r="P305" s="9" t="s">
        <v>50</v>
      </c>
      <c r="Q305" s="9" t="s">
        <v>1217</v>
      </c>
      <c r="R305" s="9">
        <v>6.63</v>
      </c>
      <c r="S305" s="9">
        <v>3</v>
      </c>
      <c r="T305" s="9">
        <v>0</v>
      </c>
      <c r="U305" s="9">
        <v>19.89</v>
      </c>
      <c r="V305" s="11">
        <v>1.7901</v>
      </c>
    </row>
    <row r="306" spans="1:22" ht="15.5" x14ac:dyDescent="0.35">
      <c r="A306" s="4">
        <v>515</v>
      </c>
      <c r="B306" s="5" t="s">
        <v>1213</v>
      </c>
      <c r="C306" s="6">
        <v>44551</v>
      </c>
      <c r="D306" s="6">
        <v>44555</v>
      </c>
      <c r="E306" s="5" t="s">
        <v>36</v>
      </c>
      <c r="F306" s="5" t="s">
        <v>1214</v>
      </c>
      <c r="G306" s="5" t="s">
        <v>1215</v>
      </c>
      <c r="H306" s="5" t="s">
        <v>39</v>
      </c>
      <c r="I306" s="5" t="s">
        <v>27</v>
      </c>
      <c r="J306" s="5" t="s">
        <v>28</v>
      </c>
      <c r="K306" s="5" t="s">
        <v>29</v>
      </c>
      <c r="L306" s="5">
        <v>90049</v>
      </c>
      <c r="M306" s="5" t="s">
        <v>30</v>
      </c>
      <c r="N306" s="5" t="s">
        <v>1218</v>
      </c>
      <c r="O306" s="5" t="s">
        <v>32</v>
      </c>
      <c r="P306" s="5" t="s">
        <v>50</v>
      </c>
      <c r="Q306" s="5" t="s">
        <v>1219</v>
      </c>
      <c r="R306" s="5">
        <v>5.88</v>
      </c>
      <c r="S306" s="5">
        <v>2</v>
      </c>
      <c r="T306" s="5">
        <v>0</v>
      </c>
      <c r="U306" s="5">
        <v>11.76</v>
      </c>
      <c r="V306" s="7">
        <v>1.7051999999999996</v>
      </c>
    </row>
    <row r="307" spans="1:22" ht="15.5" x14ac:dyDescent="0.35">
      <c r="A307" s="8">
        <v>517</v>
      </c>
      <c r="B307" s="9" t="s">
        <v>1220</v>
      </c>
      <c r="C307" s="10">
        <v>44218</v>
      </c>
      <c r="D307" s="10">
        <v>44223</v>
      </c>
      <c r="E307" s="9" t="s">
        <v>36</v>
      </c>
      <c r="F307" s="9" t="s">
        <v>1221</v>
      </c>
      <c r="G307" s="9" t="s">
        <v>1222</v>
      </c>
      <c r="H307" s="9" t="s">
        <v>76</v>
      </c>
      <c r="I307" s="9" t="s">
        <v>27</v>
      </c>
      <c r="J307" s="9" t="s">
        <v>1223</v>
      </c>
      <c r="K307" s="9" t="s">
        <v>1224</v>
      </c>
      <c r="L307" s="9">
        <v>59405</v>
      </c>
      <c r="M307" s="9" t="s">
        <v>30</v>
      </c>
      <c r="N307" s="9" t="s">
        <v>1225</v>
      </c>
      <c r="O307" s="9" t="s">
        <v>32</v>
      </c>
      <c r="P307" s="9" t="s">
        <v>44</v>
      </c>
      <c r="Q307" s="9" t="s">
        <v>1226</v>
      </c>
      <c r="R307" s="9">
        <v>51.449999999999996</v>
      </c>
      <c r="S307" s="9">
        <v>3</v>
      </c>
      <c r="T307" s="9">
        <v>0</v>
      </c>
      <c r="U307" s="9">
        <v>154.35</v>
      </c>
      <c r="V307" s="11">
        <v>13.891499999999999</v>
      </c>
    </row>
    <row r="308" spans="1:22" ht="15.5" x14ac:dyDescent="0.35">
      <c r="A308" s="4">
        <v>518</v>
      </c>
      <c r="B308" s="5" t="s">
        <v>1220</v>
      </c>
      <c r="C308" s="6">
        <v>44218</v>
      </c>
      <c r="D308" s="6">
        <v>44223</v>
      </c>
      <c r="E308" s="5" t="s">
        <v>36</v>
      </c>
      <c r="F308" s="5" t="s">
        <v>1221</v>
      </c>
      <c r="G308" s="5" t="s">
        <v>1222</v>
      </c>
      <c r="H308" s="5" t="s">
        <v>76</v>
      </c>
      <c r="I308" s="5" t="s">
        <v>27</v>
      </c>
      <c r="J308" s="5" t="s">
        <v>1223</v>
      </c>
      <c r="K308" s="5" t="s">
        <v>1224</v>
      </c>
      <c r="L308" s="5">
        <v>59405</v>
      </c>
      <c r="M308" s="5" t="s">
        <v>30</v>
      </c>
      <c r="N308" s="5" t="s">
        <v>1227</v>
      </c>
      <c r="O308" s="5" t="s">
        <v>32</v>
      </c>
      <c r="P308" s="5" t="s">
        <v>64</v>
      </c>
      <c r="Q308" s="5" t="s">
        <v>1228</v>
      </c>
      <c r="R308" s="5">
        <v>11.96</v>
      </c>
      <c r="S308" s="5">
        <v>2</v>
      </c>
      <c r="T308" s="5">
        <v>0</v>
      </c>
      <c r="U308" s="5">
        <v>23.92</v>
      </c>
      <c r="V308" s="7">
        <v>5.3819999999999997</v>
      </c>
    </row>
    <row r="309" spans="1:22" ht="15.5" x14ac:dyDescent="0.35">
      <c r="A309" s="8">
        <v>519</v>
      </c>
      <c r="B309" s="9" t="s">
        <v>1220</v>
      </c>
      <c r="C309" s="10">
        <v>44218</v>
      </c>
      <c r="D309" s="10">
        <v>44223</v>
      </c>
      <c r="E309" s="9" t="s">
        <v>36</v>
      </c>
      <c r="F309" s="9" t="s">
        <v>1221</v>
      </c>
      <c r="G309" s="9" t="s">
        <v>1222</v>
      </c>
      <c r="H309" s="9" t="s">
        <v>76</v>
      </c>
      <c r="I309" s="9" t="s">
        <v>27</v>
      </c>
      <c r="J309" s="9" t="s">
        <v>1223</v>
      </c>
      <c r="K309" s="9" t="s">
        <v>1224</v>
      </c>
      <c r="L309" s="9">
        <v>59405</v>
      </c>
      <c r="M309" s="9" t="s">
        <v>30</v>
      </c>
      <c r="N309" s="9" t="s">
        <v>1229</v>
      </c>
      <c r="O309" s="9" t="s">
        <v>32</v>
      </c>
      <c r="P309" s="9" t="s">
        <v>44</v>
      </c>
      <c r="Q309" s="9" t="s">
        <v>1230</v>
      </c>
      <c r="R309" s="9">
        <v>1126.02</v>
      </c>
      <c r="S309" s="9">
        <v>3</v>
      </c>
      <c r="T309" s="9">
        <v>0</v>
      </c>
      <c r="U309" s="9">
        <v>3378.06</v>
      </c>
      <c r="V309" s="11">
        <v>56.300999999999988</v>
      </c>
    </row>
    <row r="310" spans="1:22" ht="15.5" x14ac:dyDescent="0.35">
      <c r="A310" s="4">
        <v>521</v>
      </c>
      <c r="B310" s="5" t="s">
        <v>1231</v>
      </c>
      <c r="C310" s="6">
        <v>43546</v>
      </c>
      <c r="D310" s="6">
        <v>43550</v>
      </c>
      <c r="E310" s="5" t="s">
        <v>36</v>
      </c>
      <c r="F310" s="5" t="s">
        <v>1232</v>
      </c>
      <c r="G310" s="5" t="s">
        <v>1233</v>
      </c>
      <c r="H310" s="5" t="s">
        <v>39</v>
      </c>
      <c r="I310" s="5" t="s">
        <v>27</v>
      </c>
      <c r="J310" s="5" t="s">
        <v>140</v>
      </c>
      <c r="K310" s="5" t="s">
        <v>78</v>
      </c>
      <c r="L310" s="5">
        <v>77041</v>
      </c>
      <c r="M310" s="5" t="s">
        <v>79</v>
      </c>
      <c r="N310" s="5" t="s">
        <v>1234</v>
      </c>
      <c r="O310" s="5" t="s">
        <v>32</v>
      </c>
      <c r="P310" s="5" t="s">
        <v>44</v>
      </c>
      <c r="Q310" s="5" t="s">
        <v>1235</v>
      </c>
      <c r="R310" s="5">
        <v>129.56800000000001</v>
      </c>
      <c r="S310" s="5">
        <v>2</v>
      </c>
      <c r="T310" s="5">
        <v>0.2</v>
      </c>
      <c r="U310" s="5">
        <v>207.30880000000002</v>
      </c>
      <c r="V310" s="7">
        <v>-25.91360000000001</v>
      </c>
    </row>
    <row r="311" spans="1:22" ht="15.5" x14ac:dyDescent="0.35">
      <c r="A311" s="8">
        <v>522</v>
      </c>
      <c r="B311" s="9" t="s">
        <v>1231</v>
      </c>
      <c r="C311" s="10">
        <v>43546</v>
      </c>
      <c r="D311" s="10">
        <v>43550</v>
      </c>
      <c r="E311" s="9" t="s">
        <v>36</v>
      </c>
      <c r="F311" s="9" t="s">
        <v>1232</v>
      </c>
      <c r="G311" s="9" t="s">
        <v>1233</v>
      </c>
      <c r="H311" s="9" t="s">
        <v>39</v>
      </c>
      <c r="I311" s="9" t="s">
        <v>27</v>
      </c>
      <c r="J311" s="9" t="s">
        <v>140</v>
      </c>
      <c r="K311" s="9" t="s">
        <v>78</v>
      </c>
      <c r="L311" s="9">
        <v>77041</v>
      </c>
      <c r="M311" s="9" t="s">
        <v>79</v>
      </c>
      <c r="N311" s="9" t="s">
        <v>1236</v>
      </c>
      <c r="O311" s="9" t="s">
        <v>32</v>
      </c>
      <c r="P311" s="9" t="s">
        <v>53</v>
      </c>
      <c r="Q311" s="9" t="s">
        <v>1237</v>
      </c>
      <c r="R311" s="9">
        <v>14.111999999999997</v>
      </c>
      <c r="S311" s="9">
        <v>9</v>
      </c>
      <c r="T311" s="9">
        <v>0.8</v>
      </c>
      <c r="U311" s="9">
        <v>25.401599999999988</v>
      </c>
      <c r="V311" s="11">
        <v>-21.167999999999999</v>
      </c>
    </row>
    <row r="312" spans="1:22" ht="15.5" x14ac:dyDescent="0.35">
      <c r="A312" s="4">
        <v>526</v>
      </c>
      <c r="B312" s="5" t="s">
        <v>1238</v>
      </c>
      <c r="C312" s="6">
        <v>43825</v>
      </c>
      <c r="D312" s="6">
        <v>43832</v>
      </c>
      <c r="E312" s="5" t="s">
        <v>36</v>
      </c>
      <c r="F312" s="5" t="s">
        <v>1239</v>
      </c>
      <c r="G312" s="5" t="s">
        <v>1240</v>
      </c>
      <c r="H312" s="5" t="s">
        <v>39</v>
      </c>
      <c r="I312" s="5" t="s">
        <v>27</v>
      </c>
      <c r="J312" s="5" t="s">
        <v>1044</v>
      </c>
      <c r="K312" s="5" t="s">
        <v>867</v>
      </c>
      <c r="L312" s="5">
        <v>1841</v>
      </c>
      <c r="M312" s="5" t="s">
        <v>125</v>
      </c>
      <c r="N312" s="5" t="s">
        <v>1241</v>
      </c>
      <c r="O312" s="5" t="s">
        <v>32</v>
      </c>
      <c r="P312" s="5" t="s">
        <v>189</v>
      </c>
      <c r="Q312" s="5" t="s">
        <v>398</v>
      </c>
      <c r="R312" s="5">
        <v>22.200000000000003</v>
      </c>
      <c r="S312" s="5">
        <v>5</v>
      </c>
      <c r="T312" s="5">
        <v>0</v>
      </c>
      <c r="U312" s="5">
        <v>111.00000000000001</v>
      </c>
      <c r="V312" s="7">
        <v>10.434000000000001</v>
      </c>
    </row>
    <row r="313" spans="1:22" ht="15.5" x14ac:dyDescent="0.35">
      <c r="A313" s="8">
        <v>529</v>
      </c>
      <c r="B313" s="9" t="s">
        <v>1242</v>
      </c>
      <c r="C313" s="10">
        <v>43711</v>
      </c>
      <c r="D313" s="10">
        <v>43715</v>
      </c>
      <c r="E313" s="9" t="s">
        <v>36</v>
      </c>
      <c r="F313" s="9" t="s">
        <v>1243</v>
      </c>
      <c r="G313" s="9" t="s">
        <v>1244</v>
      </c>
      <c r="H313" s="9" t="s">
        <v>39</v>
      </c>
      <c r="I313" s="9" t="s">
        <v>27</v>
      </c>
      <c r="J313" s="9" t="s">
        <v>123</v>
      </c>
      <c r="K313" s="9" t="s">
        <v>124</v>
      </c>
      <c r="L313" s="9">
        <v>19134</v>
      </c>
      <c r="M313" s="9" t="s">
        <v>125</v>
      </c>
      <c r="N313" s="9" t="s">
        <v>1245</v>
      </c>
      <c r="O313" s="9" t="s">
        <v>32</v>
      </c>
      <c r="P313" s="9" t="s">
        <v>44</v>
      </c>
      <c r="Q313" s="9" t="s">
        <v>1246</v>
      </c>
      <c r="R313" s="9">
        <v>36.336000000000006</v>
      </c>
      <c r="S313" s="9">
        <v>3</v>
      </c>
      <c r="T313" s="9">
        <v>0.2</v>
      </c>
      <c r="U313" s="9">
        <v>87.206400000000002</v>
      </c>
      <c r="V313" s="11">
        <v>-7.2672000000000043</v>
      </c>
    </row>
    <row r="314" spans="1:22" ht="15.5" x14ac:dyDescent="0.35">
      <c r="A314" s="4">
        <v>530</v>
      </c>
      <c r="B314" s="5" t="s">
        <v>1242</v>
      </c>
      <c r="C314" s="6">
        <v>43711</v>
      </c>
      <c r="D314" s="6">
        <v>43715</v>
      </c>
      <c r="E314" s="5" t="s">
        <v>36</v>
      </c>
      <c r="F314" s="5" t="s">
        <v>1243</v>
      </c>
      <c r="G314" s="5" t="s">
        <v>1244</v>
      </c>
      <c r="H314" s="5" t="s">
        <v>39</v>
      </c>
      <c r="I314" s="5" t="s">
        <v>27</v>
      </c>
      <c r="J314" s="5" t="s">
        <v>123</v>
      </c>
      <c r="K314" s="5" t="s">
        <v>124</v>
      </c>
      <c r="L314" s="5">
        <v>19134</v>
      </c>
      <c r="M314" s="5" t="s">
        <v>125</v>
      </c>
      <c r="N314" s="5" t="s">
        <v>1247</v>
      </c>
      <c r="O314" s="5" t="s">
        <v>32</v>
      </c>
      <c r="P314" s="5" t="s">
        <v>414</v>
      </c>
      <c r="Q314" s="5" t="s">
        <v>1248</v>
      </c>
      <c r="R314" s="5">
        <v>666.24800000000005</v>
      </c>
      <c r="S314" s="5">
        <v>1</v>
      </c>
      <c r="T314" s="5">
        <v>0.2</v>
      </c>
      <c r="U314" s="5">
        <v>532.99840000000006</v>
      </c>
      <c r="V314" s="7">
        <v>-149.9058</v>
      </c>
    </row>
    <row r="315" spans="1:22" ht="15.5" x14ac:dyDescent="0.35">
      <c r="A315" s="8">
        <v>531</v>
      </c>
      <c r="B315" s="9" t="s">
        <v>1242</v>
      </c>
      <c r="C315" s="10">
        <v>43711</v>
      </c>
      <c r="D315" s="10">
        <v>43715</v>
      </c>
      <c r="E315" s="9" t="s">
        <v>36</v>
      </c>
      <c r="F315" s="9" t="s">
        <v>1243</v>
      </c>
      <c r="G315" s="9" t="s">
        <v>1244</v>
      </c>
      <c r="H315" s="9" t="s">
        <v>39</v>
      </c>
      <c r="I315" s="9" t="s">
        <v>27</v>
      </c>
      <c r="J315" s="9" t="s">
        <v>123</v>
      </c>
      <c r="K315" s="9" t="s">
        <v>124</v>
      </c>
      <c r="L315" s="9">
        <v>19134</v>
      </c>
      <c r="M315" s="9" t="s">
        <v>125</v>
      </c>
      <c r="N315" s="9" t="s">
        <v>1249</v>
      </c>
      <c r="O315" s="9" t="s">
        <v>32</v>
      </c>
      <c r="P315" s="9" t="s">
        <v>129</v>
      </c>
      <c r="Q315" s="9" t="s">
        <v>1250</v>
      </c>
      <c r="R315" s="9">
        <v>52.512</v>
      </c>
      <c r="S315" s="9">
        <v>6</v>
      </c>
      <c r="T315" s="9">
        <v>0.2</v>
      </c>
      <c r="U315" s="9">
        <v>252.05760000000001</v>
      </c>
      <c r="V315" s="11">
        <v>19.692</v>
      </c>
    </row>
    <row r="316" spans="1:22" ht="15.5" x14ac:dyDescent="0.35">
      <c r="A316" s="4">
        <v>535</v>
      </c>
      <c r="B316" s="5" t="s">
        <v>1251</v>
      </c>
      <c r="C316" s="6">
        <v>43980</v>
      </c>
      <c r="D316" s="6">
        <v>43983</v>
      </c>
      <c r="E316" s="5" t="s">
        <v>23</v>
      </c>
      <c r="F316" s="5" t="s">
        <v>1252</v>
      </c>
      <c r="G316" s="5" t="s">
        <v>1253</v>
      </c>
      <c r="H316" s="5" t="s">
        <v>39</v>
      </c>
      <c r="I316" s="5" t="s">
        <v>27</v>
      </c>
      <c r="J316" s="5" t="s">
        <v>1254</v>
      </c>
      <c r="K316" s="5" t="s">
        <v>253</v>
      </c>
      <c r="L316" s="5">
        <v>36116</v>
      </c>
      <c r="M316" s="5" t="s">
        <v>42</v>
      </c>
      <c r="N316" s="5" t="s">
        <v>715</v>
      </c>
      <c r="O316" s="5" t="s">
        <v>32</v>
      </c>
      <c r="P316" s="5" t="s">
        <v>53</v>
      </c>
      <c r="Q316" s="5" t="s">
        <v>716</v>
      </c>
      <c r="R316" s="5">
        <v>22.75</v>
      </c>
      <c r="S316" s="5">
        <v>5</v>
      </c>
      <c r="T316" s="5">
        <v>0</v>
      </c>
      <c r="U316" s="5">
        <v>113.75</v>
      </c>
      <c r="V316" s="7">
        <v>11.375</v>
      </c>
    </row>
    <row r="317" spans="1:22" ht="15.5" x14ac:dyDescent="0.35">
      <c r="A317" s="8">
        <v>536</v>
      </c>
      <c r="B317" s="9" t="s">
        <v>1255</v>
      </c>
      <c r="C317" s="10">
        <v>44022</v>
      </c>
      <c r="D317" s="10">
        <v>44028</v>
      </c>
      <c r="E317" s="9" t="s">
        <v>36</v>
      </c>
      <c r="F317" s="9" t="s">
        <v>1256</v>
      </c>
      <c r="G317" s="9" t="s">
        <v>1257</v>
      </c>
      <c r="H317" s="9" t="s">
        <v>39</v>
      </c>
      <c r="I317" s="9" t="s">
        <v>27</v>
      </c>
      <c r="J317" s="9" t="s">
        <v>1258</v>
      </c>
      <c r="K317" s="9" t="s">
        <v>216</v>
      </c>
      <c r="L317" s="9">
        <v>85204</v>
      </c>
      <c r="M317" s="9" t="s">
        <v>30</v>
      </c>
      <c r="N317" s="9" t="s">
        <v>1259</v>
      </c>
      <c r="O317" s="9" t="s">
        <v>32</v>
      </c>
      <c r="P317" s="9" t="s">
        <v>44</v>
      </c>
      <c r="Q317" s="9" t="s">
        <v>1260</v>
      </c>
      <c r="R317" s="9">
        <v>16.768000000000001</v>
      </c>
      <c r="S317" s="9">
        <v>2</v>
      </c>
      <c r="T317" s="9">
        <v>0.2</v>
      </c>
      <c r="U317" s="9">
        <v>26.828800000000001</v>
      </c>
      <c r="V317" s="11">
        <v>1.4672000000000001</v>
      </c>
    </row>
    <row r="318" spans="1:22" ht="15.5" x14ac:dyDescent="0.35">
      <c r="A318" s="4">
        <v>537</v>
      </c>
      <c r="B318" s="5" t="s">
        <v>1261</v>
      </c>
      <c r="C318" s="6">
        <v>44442</v>
      </c>
      <c r="D318" s="6">
        <v>44447</v>
      </c>
      <c r="E318" s="5" t="s">
        <v>23</v>
      </c>
      <c r="F318" s="5" t="s">
        <v>1262</v>
      </c>
      <c r="G318" s="5" t="s">
        <v>1263</v>
      </c>
      <c r="H318" s="5" t="s">
        <v>39</v>
      </c>
      <c r="I318" s="5" t="s">
        <v>27</v>
      </c>
      <c r="J318" s="5" t="s">
        <v>274</v>
      </c>
      <c r="K318" s="5" t="s">
        <v>275</v>
      </c>
      <c r="L318" s="5">
        <v>60653</v>
      </c>
      <c r="M318" s="5" t="s">
        <v>79</v>
      </c>
      <c r="N318" s="5" t="s">
        <v>1264</v>
      </c>
      <c r="O318" s="5" t="s">
        <v>32</v>
      </c>
      <c r="P318" s="5" t="s">
        <v>53</v>
      </c>
      <c r="Q318" s="5" t="s">
        <v>1265</v>
      </c>
      <c r="R318" s="5">
        <v>42.615999999999993</v>
      </c>
      <c r="S318" s="5">
        <v>7</v>
      </c>
      <c r="T318" s="5">
        <v>0.8</v>
      </c>
      <c r="U318" s="5">
        <v>59.662399999999991</v>
      </c>
      <c r="V318" s="7">
        <v>-68.185600000000022</v>
      </c>
    </row>
    <row r="319" spans="1:22" ht="15.5" x14ac:dyDescent="0.35">
      <c r="A319" s="8">
        <v>538</v>
      </c>
      <c r="B319" s="9" t="s">
        <v>1266</v>
      </c>
      <c r="C319" s="10">
        <v>43802</v>
      </c>
      <c r="D319" s="10">
        <v>43807</v>
      </c>
      <c r="E319" s="9" t="s">
        <v>36</v>
      </c>
      <c r="F319" s="9" t="s">
        <v>546</v>
      </c>
      <c r="G319" s="9" t="s">
        <v>547</v>
      </c>
      <c r="H319" s="9" t="s">
        <v>76</v>
      </c>
      <c r="I319" s="9" t="s">
        <v>27</v>
      </c>
      <c r="J319" s="9" t="s">
        <v>186</v>
      </c>
      <c r="K319" s="9" t="s">
        <v>187</v>
      </c>
      <c r="L319" s="9">
        <v>10009</v>
      </c>
      <c r="M319" s="9" t="s">
        <v>125</v>
      </c>
      <c r="N319" s="9" t="s">
        <v>1267</v>
      </c>
      <c r="O319" s="9" t="s">
        <v>32</v>
      </c>
      <c r="P319" s="9" t="s">
        <v>53</v>
      </c>
      <c r="Q319" s="9" t="s">
        <v>1268</v>
      </c>
      <c r="R319" s="9">
        <v>10.752000000000001</v>
      </c>
      <c r="S319" s="9">
        <v>4</v>
      </c>
      <c r="T319" s="9">
        <v>0.2</v>
      </c>
      <c r="U319" s="9">
        <v>34.406400000000005</v>
      </c>
      <c r="V319" s="11">
        <v>3.359999999999999</v>
      </c>
    </row>
    <row r="320" spans="1:22" ht="15.5" x14ac:dyDescent="0.35">
      <c r="A320" s="4">
        <v>539</v>
      </c>
      <c r="B320" s="5" t="s">
        <v>1269</v>
      </c>
      <c r="C320" s="6">
        <v>43806</v>
      </c>
      <c r="D320" s="6">
        <v>43810</v>
      </c>
      <c r="E320" s="5" t="s">
        <v>36</v>
      </c>
      <c r="F320" s="5" t="s">
        <v>1270</v>
      </c>
      <c r="G320" s="5" t="s">
        <v>1271</v>
      </c>
      <c r="H320" s="5" t="s">
        <v>39</v>
      </c>
      <c r="I320" s="5" t="s">
        <v>27</v>
      </c>
      <c r="J320" s="5" t="s">
        <v>1272</v>
      </c>
      <c r="K320" s="5" t="s">
        <v>1033</v>
      </c>
      <c r="L320" s="5">
        <v>42420</v>
      </c>
      <c r="M320" s="5" t="s">
        <v>42</v>
      </c>
      <c r="N320" s="5" t="s">
        <v>1273</v>
      </c>
      <c r="O320" s="5" t="s">
        <v>32</v>
      </c>
      <c r="P320" s="5" t="s">
        <v>56</v>
      </c>
      <c r="Q320" s="5" t="s">
        <v>1274</v>
      </c>
      <c r="R320" s="5">
        <v>152.94</v>
      </c>
      <c r="S320" s="5">
        <v>3</v>
      </c>
      <c r="T320" s="5">
        <v>0</v>
      </c>
      <c r="U320" s="5">
        <v>458.82</v>
      </c>
      <c r="V320" s="7">
        <v>41.293800000000005</v>
      </c>
    </row>
    <row r="321" spans="1:22" ht="15.5" x14ac:dyDescent="0.35">
      <c r="A321" s="8">
        <v>543</v>
      </c>
      <c r="B321" s="9" t="s">
        <v>1275</v>
      </c>
      <c r="C321" s="10">
        <v>43817</v>
      </c>
      <c r="D321" s="10">
        <v>43822</v>
      </c>
      <c r="E321" s="9" t="s">
        <v>36</v>
      </c>
      <c r="F321" s="9" t="s">
        <v>1276</v>
      </c>
      <c r="G321" s="9" t="s">
        <v>1277</v>
      </c>
      <c r="H321" s="9" t="s">
        <v>39</v>
      </c>
      <c r="I321" s="9" t="s">
        <v>27</v>
      </c>
      <c r="J321" s="9" t="s">
        <v>222</v>
      </c>
      <c r="K321" s="9" t="s">
        <v>360</v>
      </c>
      <c r="L321" s="9">
        <v>45503</v>
      </c>
      <c r="M321" s="9" t="s">
        <v>125</v>
      </c>
      <c r="N321" s="9" t="s">
        <v>1171</v>
      </c>
      <c r="O321" s="9" t="s">
        <v>32</v>
      </c>
      <c r="P321" s="9" t="s">
        <v>44</v>
      </c>
      <c r="Q321" s="9" t="s">
        <v>1172</v>
      </c>
      <c r="R321" s="9">
        <v>646.77600000000007</v>
      </c>
      <c r="S321" s="9">
        <v>9</v>
      </c>
      <c r="T321" s="9">
        <v>0.2</v>
      </c>
      <c r="U321" s="9">
        <v>4656.7872000000007</v>
      </c>
      <c r="V321" s="11">
        <v>-145.52460000000002</v>
      </c>
    </row>
    <row r="322" spans="1:22" ht="15.5" x14ac:dyDescent="0.35">
      <c r="A322" s="4">
        <v>547</v>
      </c>
      <c r="B322" s="5" t="s">
        <v>1278</v>
      </c>
      <c r="C322" s="6">
        <v>44519</v>
      </c>
      <c r="D322" s="6">
        <v>44522</v>
      </c>
      <c r="E322" s="5" t="s">
        <v>160</v>
      </c>
      <c r="F322" s="5" t="s">
        <v>1279</v>
      </c>
      <c r="G322" s="5" t="s">
        <v>1280</v>
      </c>
      <c r="H322" s="5" t="s">
        <v>76</v>
      </c>
      <c r="I322" s="5" t="s">
        <v>27</v>
      </c>
      <c r="J322" s="5" t="s">
        <v>186</v>
      </c>
      <c r="K322" s="5" t="s">
        <v>187</v>
      </c>
      <c r="L322" s="5">
        <v>10035</v>
      </c>
      <c r="M322" s="5" t="s">
        <v>125</v>
      </c>
      <c r="N322" s="5" t="s">
        <v>1281</v>
      </c>
      <c r="O322" s="5" t="s">
        <v>32</v>
      </c>
      <c r="P322" s="5" t="s">
        <v>53</v>
      </c>
      <c r="Q322" s="5" t="s">
        <v>1282</v>
      </c>
      <c r="R322" s="5">
        <v>41.28</v>
      </c>
      <c r="S322" s="5">
        <v>6</v>
      </c>
      <c r="T322" s="5">
        <v>0.2</v>
      </c>
      <c r="U322" s="5">
        <v>198.14400000000001</v>
      </c>
      <c r="V322" s="7">
        <v>13.931999999999999</v>
      </c>
    </row>
    <row r="323" spans="1:22" ht="15.5" x14ac:dyDescent="0.35">
      <c r="A323" s="8">
        <v>548</v>
      </c>
      <c r="B323" s="9" t="s">
        <v>1278</v>
      </c>
      <c r="C323" s="10">
        <v>44519</v>
      </c>
      <c r="D323" s="10">
        <v>44522</v>
      </c>
      <c r="E323" s="9" t="s">
        <v>160</v>
      </c>
      <c r="F323" s="9" t="s">
        <v>1279</v>
      </c>
      <c r="G323" s="9" t="s">
        <v>1280</v>
      </c>
      <c r="H323" s="9" t="s">
        <v>76</v>
      </c>
      <c r="I323" s="9" t="s">
        <v>27</v>
      </c>
      <c r="J323" s="9" t="s">
        <v>186</v>
      </c>
      <c r="K323" s="9" t="s">
        <v>187</v>
      </c>
      <c r="L323" s="9">
        <v>10035</v>
      </c>
      <c r="M323" s="9" t="s">
        <v>125</v>
      </c>
      <c r="N323" s="9" t="s">
        <v>1283</v>
      </c>
      <c r="O323" s="9" t="s">
        <v>32</v>
      </c>
      <c r="P323" s="9" t="s">
        <v>64</v>
      </c>
      <c r="Q323" s="9" t="s">
        <v>1284</v>
      </c>
      <c r="R323" s="9">
        <v>13.36</v>
      </c>
      <c r="S323" s="9">
        <v>2</v>
      </c>
      <c r="T323" s="9">
        <v>0</v>
      </c>
      <c r="U323" s="9">
        <v>26.72</v>
      </c>
      <c r="V323" s="11">
        <v>6.4127999999999998</v>
      </c>
    </row>
    <row r="324" spans="1:22" ht="15.5" x14ac:dyDescent="0.35">
      <c r="A324" s="4">
        <v>549</v>
      </c>
      <c r="B324" s="5" t="s">
        <v>1285</v>
      </c>
      <c r="C324" s="6">
        <v>43784</v>
      </c>
      <c r="D324" s="6">
        <v>43786</v>
      </c>
      <c r="E324" s="5" t="s">
        <v>23</v>
      </c>
      <c r="F324" s="5" t="s">
        <v>1286</v>
      </c>
      <c r="G324" s="5" t="s">
        <v>1287</v>
      </c>
      <c r="H324" s="5" t="s">
        <v>26</v>
      </c>
      <c r="I324" s="5" t="s">
        <v>27</v>
      </c>
      <c r="J324" s="5" t="s">
        <v>274</v>
      </c>
      <c r="K324" s="5" t="s">
        <v>275</v>
      </c>
      <c r="L324" s="5">
        <v>60653</v>
      </c>
      <c r="M324" s="5" t="s">
        <v>79</v>
      </c>
      <c r="N324" s="5" t="s">
        <v>195</v>
      </c>
      <c r="O324" s="5" t="s">
        <v>32</v>
      </c>
      <c r="P324" s="5" t="s">
        <v>44</v>
      </c>
      <c r="Q324" s="5" t="s">
        <v>196</v>
      </c>
      <c r="R324" s="5">
        <v>250.27199999999999</v>
      </c>
      <c r="S324" s="5">
        <v>9</v>
      </c>
      <c r="T324" s="5">
        <v>0.2</v>
      </c>
      <c r="U324" s="5">
        <v>1801.9584</v>
      </c>
      <c r="V324" s="7">
        <v>15.641999999999982</v>
      </c>
    </row>
    <row r="325" spans="1:22" ht="15.5" x14ac:dyDescent="0.35">
      <c r="A325" s="8">
        <v>550</v>
      </c>
      <c r="B325" s="9" t="s">
        <v>1285</v>
      </c>
      <c r="C325" s="10">
        <v>43784</v>
      </c>
      <c r="D325" s="10">
        <v>43786</v>
      </c>
      <c r="E325" s="9" t="s">
        <v>23</v>
      </c>
      <c r="F325" s="9" t="s">
        <v>1286</v>
      </c>
      <c r="G325" s="9" t="s">
        <v>1287</v>
      </c>
      <c r="H325" s="9" t="s">
        <v>26</v>
      </c>
      <c r="I325" s="9" t="s">
        <v>27</v>
      </c>
      <c r="J325" s="9" t="s">
        <v>274</v>
      </c>
      <c r="K325" s="9" t="s">
        <v>275</v>
      </c>
      <c r="L325" s="9">
        <v>60653</v>
      </c>
      <c r="M325" s="9" t="s">
        <v>79</v>
      </c>
      <c r="N325" s="9" t="s">
        <v>309</v>
      </c>
      <c r="O325" s="9" t="s">
        <v>32</v>
      </c>
      <c r="P325" s="9" t="s">
        <v>53</v>
      </c>
      <c r="Q325" s="9" t="s">
        <v>310</v>
      </c>
      <c r="R325" s="9">
        <v>11.363999999999997</v>
      </c>
      <c r="S325" s="9">
        <v>3</v>
      </c>
      <c r="T325" s="9">
        <v>0.8</v>
      </c>
      <c r="U325" s="9">
        <v>6.8183999999999969</v>
      </c>
      <c r="V325" s="11">
        <v>-17.045999999999999</v>
      </c>
    </row>
    <row r="326" spans="1:22" ht="15.5" x14ac:dyDescent="0.35">
      <c r="A326" s="4">
        <v>551</v>
      </c>
      <c r="B326" s="5" t="s">
        <v>1285</v>
      </c>
      <c r="C326" s="6">
        <v>43784</v>
      </c>
      <c r="D326" s="6">
        <v>43786</v>
      </c>
      <c r="E326" s="5" t="s">
        <v>23</v>
      </c>
      <c r="F326" s="5" t="s">
        <v>1286</v>
      </c>
      <c r="G326" s="5" t="s">
        <v>1287</v>
      </c>
      <c r="H326" s="5" t="s">
        <v>26</v>
      </c>
      <c r="I326" s="5" t="s">
        <v>27</v>
      </c>
      <c r="J326" s="5" t="s">
        <v>274</v>
      </c>
      <c r="K326" s="5" t="s">
        <v>275</v>
      </c>
      <c r="L326" s="5">
        <v>60653</v>
      </c>
      <c r="M326" s="5" t="s">
        <v>79</v>
      </c>
      <c r="N326" s="5" t="s">
        <v>1288</v>
      </c>
      <c r="O326" s="5" t="s">
        <v>32</v>
      </c>
      <c r="P326" s="5" t="s">
        <v>414</v>
      </c>
      <c r="Q326" s="5" t="s">
        <v>915</v>
      </c>
      <c r="R326" s="5">
        <v>8.7200000000000006</v>
      </c>
      <c r="S326" s="5">
        <v>5</v>
      </c>
      <c r="T326" s="5">
        <v>0.2</v>
      </c>
      <c r="U326" s="5">
        <v>34.880000000000003</v>
      </c>
      <c r="V326" s="7">
        <v>-1.7440000000000015</v>
      </c>
    </row>
    <row r="327" spans="1:22" ht="15.5" x14ac:dyDescent="0.35">
      <c r="A327" s="8">
        <v>554</v>
      </c>
      <c r="B327" s="9" t="s">
        <v>1289</v>
      </c>
      <c r="C327" s="10">
        <v>44524</v>
      </c>
      <c r="D327" s="10">
        <v>44528</v>
      </c>
      <c r="E327" s="9" t="s">
        <v>36</v>
      </c>
      <c r="F327" s="9" t="s">
        <v>1290</v>
      </c>
      <c r="G327" s="9" t="s">
        <v>1291</v>
      </c>
      <c r="H327" s="9" t="s">
        <v>39</v>
      </c>
      <c r="I327" s="9" t="s">
        <v>27</v>
      </c>
      <c r="J327" s="9" t="s">
        <v>140</v>
      </c>
      <c r="K327" s="9" t="s">
        <v>78</v>
      </c>
      <c r="L327" s="9">
        <v>77070</v>
      </c>
      <c r="M327" s="9" t="s">
        <v>79</v>
      </c>
      <c r="N327" s="9" t="s">
        <v>1292</v>
      </c>
      <c r="O327" s="9" t="s">
        <v>32</v>
      </c>
      <c r="P327" s="9" t="s">
        <v>189</v>
      </c>
      <c r="Q327" s="9" t="s">
        <v>1293</v>
      </c>
      <c r="R327" s="9">
        <v>10.824</v>
      </c>
      <c r="S327" s="9">
        <v>3</v>
      </c>
      <c r="T327" s="9">
        <v>0.2</v>
      </c>
      <c r="U327" s="9">
        <v>25.977600000000002</v>
      </c>
      <c r="V327" s="11">
        <v>2.5707</v>
      </c>
    </row>
    <row r="328" spans="1:22" ht="15.5" x14ac:dyDescent="0.35">
      <c r="A328" s="4">
        <v>555</v>
      </c>
      <c r="B328" s="5" t="s">
        <v>1294</v>
      </c>
      <c r="C328" s="6">
        <v>44376</v>
      </c>
      <c r="D328" s="6">
        <v>44380</v>
      </c>
      <c r="E328" s="5" t="s">
        <v>23</v>
      </c>
      <c r="F328" s="5" t="s">
        <v>1286</v>
      </c>
      <c r="G328" s="5" t="s">
        <v>1287</v>
      </c>
      <c r="H328" s="5" t="s">
        <v>26</v>
      </c>
      <c r="I328" s="5" t="s">
        <v>27</v>
      </c>
      <c r="J328" s="5" t="s">
        <v>1295</v>
      </c>
      <c r="K328" s="5" t="s">
        <v>29</v>
      </c>
      <c r="L328" s="5">
        <v>92804</v>
      </c>
      <c r="M328" s="5" t="s">
        <v>30</v>
      </c>
      <c r="N328" s="5" t="s">
        <v>1296</v>
      </c>
      <c r="O328" s="5" t="s">
        <v>32</v>
      </c>
      <c r="P328" s="5" t="s">
        <v>44</v>
      </c>
      <c r="Q328" s="5" t="s">
        <v>1297</v>
      </c>
      <c r="R328" s="5">
        <v>1295.78</v>
      </c>
      <c r="S328" s="5">
        <v>2</v>
      </c>
      <c r="T328" s="5">
        <v>0</v>
      </c>
      <c r="U328" s="5">
        <v>2591.56</v>
      </c>
      <c r="V328" s="7">
        <v>310.98720000000003</v>
      </c>
    </row>
    <row r="329" spans="1:22" ht="15.5" x14ac:dyDescent="0.35">
      <c r="A329" s="8">
        <v>556</v>
      </c>
      <c r="B329" s="9" t="s">
        <v>1298</v>
      </c>
      <c r="C329" s="10">
        <v>43162</v>
      </c>
      <c r="D329" s="10">
        <v>43166</v>
      </c>
      <c r="E329" s="9" t="s">
        <v>23</v>
      </c>
      <c r="F329" s="9" t="s">
        <v>1299</v>
      </c>
      <c r="G329" s="9" t="s">
        <v>1300</v>
      </c>
      <c r="H329" s="9" t="s">
        <v>39</v>
      </c>
      <c r="I329" s="9" t="s">
        <v>27</v>
      </c>
      <c r="J329" s="9" t="s">
        <v>378</v>
      </c>
      <c r="K329" s="9" t="s">
        <v>62</v>
      </c>
      <c r="L329" s="9">
        <v>28403</v>
      </c>
      <c r="M329" s="9" t="s">
        <v>42</v>
      </c>
      <c r="N329" s="9" t="s">
        <v>1301</v>
      </c>
      <c r="O329" s="9" t="s">
        <v>32</v>
      </c>
      <c r="P329" s="9" t="s">
        <v>50</v>
      </c>
      <c r="Q329" s="9" t="s">
        <v>1302</v>
      </c>
      <c r="R329" s="9">
        <v>19.456000000000003</v>
      </c>
      <c r="S329" s="9">
        <v>4</v>
      </c>
      <c r="T329" s="9">
        <v>0.2</v>
      </c>
      <c r="U329" s="9">
        <v>62.259200000000007</v>
      </c>
      <c r="V329" s="11">
        <v>3.4047999999999981</v>
      </c>
    </row>
    <row r="330" spans="1:22" ht="15.5" x14ac:dyDescent="0.35">
      <c r="A330" s="4">
        <v>557</v>
      </c>
      <c r="B330" s="5" t="s">
        <v>1303</v>
      </c>
      <c r="C330" s="6">
        <v>43992</v>
      </c>
      <c r="D330" s="6">
        <v>43997</v>
      </c>
      <c r="E330" s="5" t="s">
        <v>36</v>
      </c>
      <c r="F330" s="5" t="s">
        <v>1304</v>
      </c>
      <c r="G330" s="5" t="s">
        <v>1305</v>
      </c>
      <c r="H330" s="5" t="s">
        <v>39</v>
      </c>
      <c r="I330" s="5" t="s">
        <v>27</v>
      </c>
      <c r="J330" s="5" t="s">
        <v>28</v>
      </c>
      <c r="K330" s="5" t="s">
        <v>29</v>
      </c>
      <c r="L330" s="5">
        <v>90045</v>
      </c>
      <c r="M330" s="5" t="s">
        <v>30</v>
      </c>
      <c r="N330" s="5" t="s">
        <v>1306</v>
      </c>
      <c r="O330" s="5" t="s">
        <v>32</v>
      </c>
      <c r="P330" s="5" t="s">
        <v>33</v>
      </c>
      <c r="Q330" s="5" t="s">
        <v>1307</v>
      </c>
      <c r="R330" s="5">
        <v>20.7</v>
      </c>
      <c r="S330" s="5">
        <v>2</v>
      </c>
      <c r="T330" s="5">
        <v>0</v>
      </c>
      <c r="U330" s="5">
        <v>41.4</v>
      </c>
      <c r="V330" s="7">
        <v>9.9359999999999999</v>
      </c>
    </row>
    <row r="331" spans="1:22" ht="15.5" x14ac:dyDescent="0.35">
      <c r="A331" s="8">
        <v>559</v>
      </c>
      <c r="B331" s="9" t="s">
        <v>1303</v>
      </c>
      <c r="C331" s="10">
        <v>43992</v>
      </c>
      <c r="D331" s="10">
        <v>43997</v>
      </c>
      <c r="E331" s="9" t="s">
        <v>36</v>
      </c>
      <c r="F331" s="9" t="s">
        <v>1304</v>
      </c>
      <c r="G331" s="9" t="s">
        <v>1305</v>
      </c>
      <c r="H331" s="9" t="s">
        <v>39</v>
      </c>
      <c r="I331" s="9" t="s">
        <v>27</v>
      </c>
      <c r="J331" s="9" t="s">
        <v>28</v>
      </c>
      <c r="K331" s="9" t="s">
        <v>29</v>
      </c>
      <c r="L331" s="9">
        <v>90045</v>
      </c>
      <c r="M331" s="9" t="s">
        <v>30</v>
      </c>
      <c r="N331" s="9" t="s">
        <v>1308</v>
      </c>
      <c r="O331" s="9" t="s">
        <v>32</v>
      </c>
      <c r="P331" s="9" t="s">
        <v>64</v>
      </c>
      <c r="Q331" s="9" t="s">
        <v>1309</v>
      </c>
      <c r="R331" s="9">
        <v>32.400000000000006</v>
      </c>
      <c r="S331" s="9">
        <v>5</v>
      </c>
      <c r="T331" s="9">
        <v>0</v>
      </c>
      <c r="U331" s="9">
        <v>162.00000000000003</v>
      </c>
      <c r="V331" s="11">
        <v>15.552000000000001</v>
      </c>
    </row>
    <row r="332" spans="1:22" ht="15.5" x14ac:dyDescent="0.35">
      <c r="A332" s="4">
        <v>561</v>
      </c>
      <c r="B332" s="5" t="s">
        <v>1310</v>
      </c>
      <c r="C332" s="6">
        <v>44520</v>
      </c>
      <c r="D332" s="6">
        <v>44522</v>
      </c>
      <c r="E332" s="5" t="s">
        <v>23</v>
      </c>
      <c r="F332" s="5" t="s">
        <v>1311</v>
      </c>
      <c r="G332" s="5" t="s">
        <v>1312</v>
      </c>
      <c r="H332" s="5" t="s">
        <v>39</v>
      </c>
      <c r="I332" s="5" t="s">
        <v>27</v>
      </c>
      <c r="J332" s="5" t="s">
        <v>101</v>
      </c>
      <c r="K332" s="5" t="s">
        <v>29</v>
      </c>
      <c r="L332" s="5">
        <v>94110</v>
      </c>
      <c r="M332" s="5" t="s">
        <v>30</v>
      </c>
      <c r="N332" s="5" t="s">
        <v>1313</v>
      </c>
      <c r="O332" s="5" t="s">
        <v>32</v>
      </c>
      <c r="P332" s="5" t="s">
        <v>53</v>
      </c>
      <c r="Q332" s="5" t="s">
        <v>1314</v>
      </c>
      <c r="R332" s="5">
        <v>84.056000000000012</v>
      </c>
      <c r="S332" s="5">
        <v>7</v>
      </c>
      <c r="T332" s="5">
        <v>0.2</v>
      </c>
      <c r="U332" s="5">
        <v>470.71360000000004</v>
      </c>
      <c r="V332" s="7">
        <v>27.318199999999983</v>
      </c>
    </row>
    <row r="333" spans="1:22" ht="15.5" x14ac:dyDescent="0.35">
      <c r="A333" s="8">
        <v>562</v>
      </c>
      <c r="B333" s="9" t="s">
        <v>1315</v>
      </c>
      <c r="C333" s="10">
        <v>43357</v>
      </c>
      <c r="D333" s="10">
        <v>43361</v>
      </c>
      <c r="E333" s="9" t="s">
        <v>23</v>
      </c>
      <c r="F333" s="9" t="s">
        <v>1316</v>
      </c>
      <c r="G333" s="9" t="s">
        <v>1317</v>
      </c>
      <c r="H333" s="9" t="s">
        <v>39</v>
      </c>
      <c r="I333" s="9" t="s">
        <v>27</v>
      </c>
      <c r="J333" s="9" t="s">
        <v>639</v>
      </c>
      <c r="K333" s="9" t="s">
        <v>41</v>
      </c>
      <c r="L333" s="9">
        <v>33614</v>
      </c>
      <c r="M333" s="9" t="s">
        <v>42</v>
      </c>
      <c r="N333" s="9" t="s">
        <v>1318</v>
      </c>
      <c r="O333" s="9" t="s">
        <v>32</v>
      </c>
      <c r="P333" s="9" t="s">
        <v>56</v>
      </c>
      <c r="Q333" s="9" t="s">
        <v>1319</v>
      </c>
      <c r="R333" s="9">
        <v>13</v>
      </c>
      <c r="S333" s="9">
        <v>5</v>
      </c>
      <c r="T333" s="9">
        <v>0.2</v>
      </c>
      <c r="U333" s="9">
        <v>52</v>
      </c>
      <c r="V333" s="11">
        <v>1.3000000000000007</v>
      </c>
    </row>
    <row r="334" spans="1:22" ht="15.5" x14ac:dyDescent="0.35">
      <c r="A334" s="4">
        <v>564</v>
      </c>
      <c r="B334" s="5" t="s">
        <v>1320</v>
      </c>
      <c r="C334" s="6">
        <v>43806</v>
      </c>
      <c r="D334" s="6">
        <v>43808</v>
      </c>
      <c r="E334" s="5" t="s">
        <v>160</v>
      </c>
      <c r="F334" s="5" t="s">
        <v>1321</v>
      </c>
      <c r="G334" s="5" t="s">
        <v>1322</v>
      </c>
      <c r="H334" s="5" t="s">
        <v>39</v>
      </c>
      <c r="I334" s="5" t="s">
        <v>27</v>
      </c>
      <c r="J334" s="5" t="s">
        <v>69</v>
      </c>
      <c r="K334" s="5" t="s">
        <v>70</v>
      </c>
      <c r="L334" s="5">
        <v>98105</v>
      </c>
      <c r="M334" s="5" t="s">
        <v>30</v>
      </c>
      <c r="N334" s="5" t="s">
        <v>1323</v>
      </c>
      <c r="O334" s="5" t="s">
        <v>32</v>
      </c>
      <c r="P334" s="5" t="s">
        <v>189</v>
      </c>
      <c r="Q334" s="5" t="s">
        <v>1324</v>
      </c>
      <c r="R334" s="5">
        <v>3.96</v>
      </c>
      <c r="S334" s="5">
        <v>2</v>
      </c>
      <c r="T334" s="5">
        <v>0</v>
      </c>
      <c r="U334" s="5">
        <v>7.92</v>
      </c>
      <c r="V334" s="7">
        <v>0</v>
      </c>
    </row>
    <row r="335" spans="1:22" ht="15.5" x14ac:dyDescent="0.35">
      <c r="A335" s="8">
        <v>565</v>
      </c>
      <c r="B335" s="9" t="s">
        <v>1320</v>
      </c>
      <c r="C335" s="10">
        <v>43806</v>
      </c>
      <c r="D335" s="10">
        <v>43808</v>
      </c>
      <c r="E335" s="9" t="s">
        <v>160</v>
      </c>
      <c r="F335" s="9" t="s">
        <v>1321</v>
      </c>
      <c r="G335" s="9" t="s">
        <v>1322</v>
      </c>
      <c r="H335" s="9" t="s">
        <v>39</v>
      </c>
      <c r="I335" s="9" t="s">
        <v>27</v>
      </c>
      <c r="J335" s="9" t="s">
        <v>69</v>
      </c>
      <c r="K335" s="9" t="s">
        <v>70</v>
      </c>
      <c r="L335" s="9">
        <v>98105</v>
      </c>
      <c r="M335" s="9" t="s">
        <v>30</v>
      </c>
      <c r="N335" s="9" t="s">
        <v>800</v>
      </c>
      <c r="O335" s="9" t="s">
        <v>32</v>
      </c>
      <c r="P335" s="9" t="s">
        <v>33</v>
      </c>
      <c r="Q335" s="9" t="s">
        <v>801</v>
      </c>
      <c r="R335" s="9">
        <v>2.61</v>
      </c>
      <c r="S335" s="9">
        <v>1</v>
      </c>
      <c r="T335" s="9">
        <v>0</v>
      </c>
      <c r="U335" s="9">
        <v>2.61</v>
      </c>
      <c r="V335" s="11">
        <v>1.2005999999999999</v>
      </c>
    </row>
    <row r="336" spans="1:22" ht="15.5" x14ac:dyDescent="0.35">
      <c r="A336" s="4">
        <v>567</v>
      </c>
      <c r="B336" s="5" t="s">
        <v>1325</v>
      </c>
      <c r="C336" s="6">
        <v>44470</v>
      </c>
      <c r="D336" s="6">
        <v>44477</v>
      </c>
      <c r="E336" s="5" t="s">
        <v>36</v>
      </c>
      <c r="F336" s="5" t="s">
        <v>1326</v>
      </c>
      <c r="G336" s="5" t="s">
        <v>1327</v>
      </c>
      <c r="H336" s="5" t="s">
        <v>26</v>
      </c>
      <c r="I336" s="5" t="s">
        <v>27</v>
      </c>
      <c r="J336" s="5" t="s">
        <v>69</v>
      </c>
      <c r="K336" s="5" t="s">
        <v>70</v>
      </c>
      <c r="L336" s="5">
        <v>98105</v>
      </c>
      <c r="M336" s="5" t="s">
        <v>30</v>
      </c>
      <c r="N336" s="5" t="s">
        <v>1328</v>
      </c>
      <c r="O336" s="5" t="s">
        <v>32</v>
      </c>
      <c r="P336" s="5" t="s">
        <v>64</v>
      </c>
      <c r="Q336" s="5" t="s">
        <v>1329</v>
      </c>
      <c r="R336" s="5">
        <v>91.84</v>
      </c>
      <c r="S336" s="5">
        <v>8</v>
      </c>
      <c r="T336" s="5">
        <v>0</v>
      </c>
      <c r="U336" s="5">
        <v>734.72</v>
      </c>
      <c r="V336" s="7">
        <v>45.001600000000003</v>
      </c>
    </row>
    <row r="337" spans="1:22" ht="15.5" x14ac:dyDescent="0.35">
      <c r="A337" s="8">
        <v>568</v>
      </c>
      <c r="B337" s="9" t="s">
        <v>1325</v>
      </c>
      <c r="C337" s="10">
        <v>44470</v>
      </c>
      <c r="D337" s="10">
        <v>44477</v>
      </c>
      <c r="E337" s="9" t="s">
        <v>36</v>
      </c>
      <c r="F337" s="9" t="s">
        <v>1326</v>
      </c>
      <c r="G337" s="9" t="s">
        <v>1327</v>
      </c>
      <c r="H337" s="9" t="s">
        <v>26</v>
      </c>
      <c r="I337" s="9" t="s">
        <v>27</v>
      </c>
      <c r="J337" s="9" t="s">
        <v>69</v>
      </c>
      <c r="K337" s="9" t="s">
        <v>70</v>
      </c>
      <c r="L337" s="9">
        <v>98105</v>
      </c>
      <c r="M337" s="9" t="s">
        <v>30</v>
      </c>
      <c r="N337" s="9" t="s">
        <v>1330</v>
      </c>
      <c r="O337" s="9" t="s">
        <v>32</v>
      </c>
      <c r="P337" s="9" t="s">
        <v>53</v>
      </c>
      <c r="Q337" s="9" t="s">
        <v>1331</v>
      </c>
      <c r="R337" s="9">
        <v>81.088000000000008</v>
      </c>
      <c r="S337" s="9">
        <v>7</v>
      </c>
      <c r="T337" s="9">
        <v>0.2</v>
      </c>
      <c r="U337" s="9">
        <v>454.09280000000007</v>
      </c>
      <c r="V337" s="11">
        <v>27.3672</v>
      </c>
    </row>
    <row r="338" spans="1:22" ht="15.5" x14ac:dyDescent="0.35">
      <c r="A338" s="4">
        <v>569</v>
      </c>
      <c r="B338" s="5" t="s">
        <v>1325</v>
      </c>
      <c r="C338" s="6">
        <v>44470</v>
      </c>
      <c r="D338" s="6">
        <v>44477</v>
      </c>
      <c r="E338" s="5" t="s">
        <v>36</v>
      </c>
      <c r="F338" s="5" t="s">
        <v>1326</v>
      </c>
      <c r="G338" s="5" t="s">
        <v>1327</v>
      </c>
      <c r="H338" s="5" t="s">
        <v>26</v>
      </c>
      <c r="I338" s="5" t="s">
        <v>27</v>
      </c>
      <c r="J338" s="5" t="s">
        <v>69</v>
      </c>
      <c r="K338" s="5" t="s">
        <v>70</v>
      </c>
      <c r="L338" s="5">
        <v>98105</v>
      </c>
      <c r="M338" s="5" t="s">
        <v>30</v>
      </c>
      <c r="N338" s="5" t="s">
        <v>1332</v>
      </c>
      <c r="O338" s="5" t="s">
        <v>32</v>
      </c>
      <c r="P338" s="5" t="s">
        <v>64</v>
      </c>
      <c r="Q338" s="5" t="s">
        <v>1333</v>
      </c>
      <c r="R338" s="5">
        <v>19.440000000000001</v>
      </c>
      <c r="S338" s="5">
        <v>3</v>
      </c>
      <c r="T338" s="5">
        <v>0</v>
      </c>
      <c r="U338" s="5">
        <v>58.320000000000007</v>
      </c>
      <c r="V338" s="7">
        <v>9.3312000000000008</v>
      </c>
    </row>
    <row r="339" spans="1:22" ht="15.5" x14ac:dyDescent="0.35">
      <c r="A339" s="8">
        <v>571</v>
      </c>
      <c r="B339" s="9" t="s">
        <v>1334</v>
      </c>
      <c r="C339" s="10">
        <v>44558</v>
      </c>
      <c r="D339" s="10">
        <v>43104</v>
      </c>
      <c r="E339" s="9" t="s">
        <v>36</v>
      </c>
      <c r="F339" s="9" t="s">
        <v>1335</v>
      </c>
      <c r="G339" s="9" t="s">
        <v>1336</v>
      </c>
      <c r="H339" s="9" t="s">
        <v>39</v>
      </c>
      <c r="I339" s="9" t="s">
        <v>27</v>
      </c>
      <c r="J339" s="9" t="s">
        <v>186</v>
      </c>
      <c r="K339" s="9" t="s">
        <v>187</v>
      </c>
      <c r="L339" s="9">
        <v>10024</v>
      </c>
      <c r="M339" s="9" t="s">
        <v>125</v>
      </c>
      <c r="N339" s="9" t="s">
        <v>1306</v>
      </c>
      <c r="O339" s="9" t="s">
        <v>32</v>
      </c>
      <c r="P339" s="9" t="s">
        <v>33</v>
      </c>
      <c r="Q339" s="9" t="s">
        <v>1307</v>
      </c>
      <c r="R339" s="9">
        <v>72.45</v>
      </c>
      <c r="S339" s="9">
        <v>7</v>
      </c>
      <c r="T339" s="9">
        <v>0</v>
      </c>
      <c r="U339" s="9">
        <v>507.15000000000003</v>
      </c>
      <c r="V339" s="11">
        <v>34.775999999999996</v>
      </c>
    </row>
    <row r="340" spans="1:22" ht="15.5" x14ac:dyDescent="0.35">
      <c r="A340" s="4">
        <v>572</v>
      </c>
      <c r="B340" s="5" t="s">
        <v>1334</v>
      </c>
      <c r="C340" s="6">
        <v>44558</v>
      </c>
      <c r="D340" s="6">
        <v>43104</v>
      </c>
      <c r="E340" s="5" t="s">
        <v>36</v>
      </c>
      <c r="F340" s="5" t="s">
        <v>1335</v>
      </c>
      <c r="G340" s="5" t="s">
        <v>1336</v>
      </c>
      <c r="H340" s="5" t="s">
        <v>39</v>
      </c>
      <c r="I340" s="5" t="s">
        <v>27</v>
      </c>
      <c r="J340" s="5" t="s">
        <v>186</v>
      </c>
      <c r="K340" s="5" t="s">
        <v>187</v>
      </c>
      <c r="L340" s="5">
        <v>10024</v>
      </c>
      <c r="M340" s="5" t="s">
        <v>125</v>
      </c>
      <c r="N340" s="5" t="s">
        <v>619</v>
      </c>
      <c r="O340" s="5" t="s">
        <v>32</v>
      </c>
      <c r="P340" s="5" t="s">
        <v>189</v>
      </c>
      <c r="Q340" s="5" t="s">
        <v>620</v>
      </c>
      <c r="R340" s="5">
        <v>13.96</v>
      </c>
      <c r="S340" s="5">
        <v>4</v>
      </c>
      <c r="T340" s="5">
        <v>0</v>
      </c>
      <c r="U340" s="5">
        <v>55.84</v>
      </c>
      <c r="V340" s="7">
        <v>6.4215999999999998</v>
      </c>
    </row>
    <row r="341" spans="1:22" ht="15.5" x14ac:dyDescent="0.35">
      <c r="A341" s="8">
        <v>573</v>
      </c>
      <c r="B341" s="9" t="s">
        <v>1334</v>
      </c>
      <c r="C341" s="10">
        <v>44558</v>
      </c>
      <c r="D341" s="10">
        <v>43104</v>
      </c>
      <c r="E341" s="9" t="s">
        <v>36</v>
      </c>
      <c r="F341" s="9" t="s">
        <v>1335</v>
      </c>
      <c r="G341" s="9" t="s">
        <v>1336</v>
      </c>
      <c r="H341" s="9" t="s">
        <v>39</v>
      </c>
      <c r="I341" s="9" t="s">
        <v>27</v>
      </c>
      <c r="J341" s="9" t="s">
        <v>186</v>
      </c>
      <c r="K341" s="9" t="s">
        <v>187</v>
      </c>
      <c r="L341" s="9">
        <v>10024</v>
      </c>
      <c r="M341" s="9" t="s">
        <v>125</v>
      </c>
      <c r="N341" s="9" t="s">
        <v>845</v>
      </c>
      <c r="O341" s="9" t="s">
        <v>32</v>
      </c>
      <c r="P341" s="9" t="s">
        <v>53</v>
      </c>
      <c r="Q341" s="9" t="s">
        <v>846</v>
      </c>
      <c r="R341" s="9">
        <v>33.264000000000003</v>
      </c>
      <c r="S341" s="9">
        <v>7</v>
      </c>
      <c r="T341" s="9">
        <v>0.2</v>
      </c>
      <c r="U341" s="9">
        <v>186.2784</v>
      </c>
      <c r="V341" s="11">
        <v>11.226599999999999</v>
      </c>
    </row>
    <row r="342" spans="1:22" ht="15.5" x14ac:dyDescent="0.35">
      <c r="A342" s="4">
        <v>575</v>
      </c>
      <c r="B342" s="5" t="s">
        <v>1337</v>
      </c>
      <c r="C342" s="6">
        <v>44138</v>
      </c>
      <c r="D342" s="6">
        <v>44142</v>
      </c>
      <c r="E342" s="5" t="s">
        <v>36</v>
      </c>
      <c r="F342" s="5" t="s">
        <v>1338</v>
      </c>
      <c r="G342" s="5" t="s">
        <v>1339</v>
      </c>
      <c r="H342" s="5" t="s">
        <v>39</v>
      </c>
      <c r="I342" s="5" t="s">
        <v>27</v>
      </c>
      <c r="J342" s="5" t="s">
        <v>1340</v>
      </c>
      <c r="K342" s="5" t="s">
        <v>70</v>
      </c>
      <c r="L342" s="5">
        <v>98270</v>
      </c>
      <c r="M342" s="5" t="s">
        <v>30</v>
      </c>
      <c r="N342" s="5" t="s">
        <v>1341</v>
      </c>
      <c r="O342" s="5" t="s">
        <v>32</v>
      </c>
      <c r="P342" s="5" t="s">
        <v>50</v>
      </c>
      <c r="Q342" s="5" t="s">
        <v>1342</v>
      </c>
      <c r="R342" s="5">
        <v>8.82</v>
      </c>
      <c r="S342" s="5">
        <v>3</v>
      </c>
      <c r="T342" s="5">
        <v>0</v>
      </c>
      <c r="U342" s="5">
        <v>26.46</v>
      </c>
      <c r="V342" s="7">
        <v>2.3814000000000002</v>
      </c>
    </row>
    <row r="343" spans="1:22" ht="15.5" x14ac:dyDescent="0.35">
      <c r="A343" s="8">
        <v>576</v>
      </c>
      <c r="B343" s="9" t="s">
        <v>1343</v>
      </c>
      <c r="C343" s="10">
        <v>43726</v>
      </c>
      <c r="D343" s="10">
        <v>43730</v>
      </c>
      <c r="E343" s="9" t="s">
        <v>23</v>
      </c>
      <c r="F343" s="9" t="s">
        <v>1344</v>
      </c>
      <c r="G343" s="9" t="s">
        <v>1345</v>
      </c>
      <c r="H343" s="9" t="s">
        <v>39</v>
      </c>
      <c r="I343" s="9" t="s">
        <v>27</v>
      </c>
      <c r="J343" s="9" t="s">
        <v>819</v>
      </c>
      <c r="K343" s="9" t="s">
        <v>29</v>
      </c>
      <c r="L343" s="9">
        <v>90805</v>
      </c>
      <c r="M343" s="9" t="s">
        <v>30</v>
      </c>
      <c r="N343" s="9" t="s">
        <v>1328</v>
      </c>
      <c r="O343" s="9" t="s">
        <v>32</v>
      </c>
      <c r="P343" s="9" t="s">
        <v>64</v>
      </c>
      <c r="Q343" s="9" t="s">
        <v>1329</v>
      </c>
      <c r="R343" s="9">
        <v>160.72</v>
      </c>
      <c r="S343" s="9">
        <v>14</v>
      </c>
      <c r="T343" s="9">
        <v>0</v>
      </c>
      <c r="U343" s="9">
        <v>2250.08</v>
      </c>
      <c r="V343" s="11">
        <v>78.752800000000008</v>
      </c>
    </row>
    <row r="344" spans="1:22" ht="15.5" x14ac:dyDescent="0.35">
      <c r="A344" s="4">
        <v>577</v>
      </c>
      <c r="B344" s="5" t="s">
        <v>1343</v>
      </c>
      <c r="C344" s="6">
        <v>43726</v>
      </c>
      <c r="D344" s="6">
        <v>43730</v>
      </c>
      <c r="E344" s="5" t="s">
        <v>23</v>
      </c>
      <c r="F344" s="5" t="s">
        <v>1344</v>
      </c>
      <c r="G344" s="5" t="s">
        <v>1345</v>
      </c>
      <c r="H344" s="5" t="s">
        <v>39</v>
      </c>
      <c r="I344" s="5" t="s">
        <v>27</v>
      </c>
      <c r="J344" s="5" t="s">
        <v>819</v>
      </c>
      <c r="K344" s="5" t="s">
        <v>29</v>
      </c>
      <c r="L344" s="5">
        <v>90805</v>
      </c>
      <c r="M344" s="5" t="s">
        <v>30</v>
      </c>
      <c r="N344" s="5" t="s">
        <v>1346</v>
      </c>
      <c r="O344" s="5" t="s">
        <v>32</v>
      </c>
      <c r="P344" s="5" t="s">
        <v>64</v>
      </c>
      <c r="Q344" s="5" t="s">
        <v>1347</v>
      </c>
      <c r="R344" s="5">
        <v>19.920000000000002</v>
      </c>
      <c r="S344" s="5">
        <v>4</v>
      </c>
      <c r="T344" s="5">
        <v>0</v>
      </c>
      <c r="U344" s="5">
        <v>79.680000000000007</v>
      </c>
      <c r="V344" s="7">
        <v>9.7608000000000015</v>
      </c>
    </row>
    <row r="345" spans="1:22" ht="15.5" x14ac:dyDescent="0.35">
      <c r="A345" s="8">
        <v>578</v>
      </c>
      <c r="B345" s="9" t="s">
        <v>1343</v>
      </c>
      <c r="C345" s="10">
        <v>43726</v>
      </c>
      <c r="D345" s="10">
        <v>43730</v>
      </c>
      <c r="E345" s="9" t="s">
        <v>23</v>
      </c>
      <c r="F345" s="9" t="s">
        <v>1344</v>
      </c>
      <c r="G345" s="9" t="s">
        <v>1345</v>
      </c>
      <c r="H345" s="9" t="s">
        <v>39</v>
      </c>
      <c r="I345" s="9" t="s">
        <v>27</v>
      </c>
      <c r="J345" s="9" t="s">
        <v>819</v>
      </c>
      <c r="K345" s="9" t="s">
        <v>29</v>
      </c>
      <c r="L345" s="9">
        <v>90805</v>
      </c>
      <c r="M345" s="9" t="s">
        <v>30</v>
      </c>
      <c r="N345" s="9" t="s">
        <v>1348</v>
      </c>
      <c r="O345" s="9" t="s">
        <v>32</v>
      </c>
      <c r="P345" s="9" t="s">
        <v>414</v>
      </c>
      <c r="Q345" s="9" t="s">
        <v>1349</v>
      </c>
      <c r="R345" s="9">
        <v>7.3</v>
      </c>
      <c r="S345" s="9">
        <v>2</v>
      </c>
      <c r="T345" s="9">
        <v>0</v>
      </c>
      <c r="U345" s="9">
        <v>14.6</v>
      </c>
      <c r="V345" s="11">
        <v>2.1899999999999995</v>
      </c>
    </row>
    <row r="346" spans="1:22" ht="15.5" x14ac:dyDescent="0.35">
      <c r="A346" s="4">
        <v>579</v>
      </c>
      <c r="B346" s="5" t="s">
        <v>1350</v>
      </c>
      <c r="C346" s="6">
        <v>44397</v>
      </c>
      <c r="D346" s="6">
        <v>44403</v>
      </c>
      <c r="E346" s="5" t="s">
        <v>36</v>
      </c>
      <c r="F346" s="5" t="s">
        <v>1351</v>
      </c>
      <c r="G346" s="5" t="s">
        <v>1352</v>
      </c>
      <c r="H346" s="5" t="s">
        <v>39</v>
      </c>
      <c r="I346" s="5" t="s">
        <v>27</v>
      </c>
      <c r="J346" s="5" t="s">
        <v>274</v>
      </c>
      <c r="K346" s="5" t="s">
        <v>275</v>
      </c>
      <c r="L346" s="5">
        <v>60610</v>
      </c>
      <c r="M346" s="5" t="s">
        <v>79</v>
      </c>
      <c r="N346" s="5" t="s">
        <v>390</v>
      </c>
      <c r="O346" s="5" t="s">
        <v>32</v>
      </c>
      <c r="P346" s="5" t="s">
        <v>44</v>
      </c>
      <c r="Q346" s="5" t="s">
        <v>391</v>
      </c>
      <c r="R346" s="5">
        <v>69.712000000000003</v>
      </c>
      <c r="S346" s="5">
        <v>2</v>
      </c>
      <c r="T346" s="5">
        <v>0.2</v>
      </c>
      <c r="U346" s="5">
        <v>111.53920000000001</v>
      </c>
      <c r="V346" s="7">
        <v>8.7139999999999951</v>
      </c>
    </row>
    <row r="347" spans="1:22" ht="15.5" x14ac:dyDescent="0.35">
      <c r="A347" s="8">
        <v>581</v>
      </c>
      <c r="B347" s="9" t="s">
        <v>1353</v>
      </c>
      <c r="C347" s="10">
        <v>43718</v>
      </c>
      <c r="D347" s="10">
        <v>43722</v>
      </c>
      <c r="E347" s="9" t="s">
        <v>36</v>
      </c>
      <c r="F347" s="9" t="s">
        <v>1354</v>
      </c>
      <c r="G347" s="9" t="s">
        <v>1355</v>
      </c>
      <c r="H347" s="9" t="s">
        <v>39</v>
      </c>
      <c r="I347" s="9" t="s">
        <v>27</v>
      </c>
      <c r="J347" s="9" t="s">
        <v>28</v>
      </c>
      <c r="K347" s="9" t="s">
        <v>29</v>
      </c>
      <c r="L347" s="9">
        <v>90004</v>
      </c>
      <c r="M347" s="9" t="s">
        <v>30</v>
      </c>
      <c r="N347" s="9" t="s">
        <v>1356</v>
      </c>
      <c r="O347" s="9" t="s">
        <v>32</v>
      </c>
      <c r="P347" s="9" t="s">
        <v>414</v>
      </c>
      <c r="Q347" s="9" t="s">
        <v>1357</v>
      </c>
      <c r="R347" s="9">
        <v>51.52</v>
      </c>
      <c r="S347" s="9">
        <v>4</v>
      </c>
      <c r="T347" s="9">
        <v>0</v>
      </c>
      <c r="U347" s="9">
        <v>206.08</v>
      </c>
      <c r="V347" s="11">
        <v>1.5456000000000003</v>
      </c>
    </row>
    <row r="348" spans="1:22" ht="15.5" x14ac:dyDescent="0.35">
      <c r="A348" s="4">
        <v>584</v>
      </c>
      <c r="B348" s="5" t="s">
        <v>1358</v>
      </c>
      <c r="C348" s="6">
        <v>44531</v>
      </c>
      <c r="D348" s="6">
        <v>44535</v>
      </c>
      <c r="E348" s="5" t="s">
        <v>36</v>
      </c>
      <c r="F348" s="5" t="s">
        <v>1359</v>
      </c>
      <c r="G348" s="5" t="s">
        <v>1360</v>
      </c>
      <c r="H348" s="5" t="s">
        <v>39</v>
      </c>
      <c r="I348" s="5" t="s">
        <v>27</v>
      </c>
      <c r="J348" s="5" t="s">
        <v>587</v>
      </c>
      <c r="K348" s="5" t="s">
        <v>338</v>
      </c>
      <c r="L348" s="5">
        <v>80219</v>
      </c>
      <c r="M348" s="5" t="s">
        <v>30</v>
      </c>
      <c r="N348" s="5" t="s">
        <v>320</v>
      </c>
      <c r="O348" s="5" t="s">
        <v>32</v>
      </c>
      <c r="P348" s="5" t="s">
        <v>56</v>
      </c>
      <c r="Q348" s="5" t="s">
        <v>321</v>
      </c>
      <c r="R348" s="5">
        <v>31.152000000000001</v>
      </c>
      <c r="S348" s="5">
        <v>3</v>
      </c>
      <c r="T348" s="5">
        <v>0.2</v>
      </c>
      <c r="U348" s="5">
        <v>74.764800000000008</v>
      </c>
      <c r="V348" s="7">
        <v>3.5045999999999964</v>
      </c>
    </row>
    <row r="349" spans="1:22" ht="15.5" x14ac:dyDescent="0.35">
      <c r="A349" s="8">
        <v>585</v>
      </c>
      <c r="B349" s="9" t="s">
        <v>1358</v>
      </c>
      <c r="C349" s="10">
        <v>44531</v>
      </c>
      <c r="D349" s="10">
        <v>44535</v>
      </c>
      <c r="E349" s="9" t="s">
        <v>36</v>
      </c>
      <c r="F349" s="9" t="s">
        <v>1359</v>
      </c>
      <c r="G349" s="9" t="s">
        <v>1360</v>
      </c>
      <c r="H349" s="9" t="s">
        <v>39</v>
      </c>
      <c r="I349" s="9" t="s">
        <v>27</v>
      </c>
      <c r="J349" s="9" t="s">
        <v>587</v>
      </c>
      <c r="K349" s="9" t="s">
        <v>338</v>
      </c>
      <c r="L349" s="9">
        <v>80219</v>
      </c>
      <c r="M349" s="9" t="s">
        <v>30</v>
      </c>
      <c r="N349" s="9" t="s">
        <v>1361</v>
      </c>
      <c r="O349" s="9" t="s">
        <v>32</v>
      </c>
      <c r="P349" s="9" t="s">
        <v>53</v>
      </c>
      <c r="Q349" s="9" t="s">
        <v>1362</v>
      </c>
      <c r="R349" s="9">
        <v>6.7830000000000004</v>
      </c>
      <c r="S349" s="9">
        <v>7</v>
      </c>
      <c r="T349" s="9">
        <v>0.7</v>
      </c>
      <c r="U349" s="9">
        <v>14.244300000000003</v>
      </c>
      <c r="V349" s="11">
        <v>-4.7480999999999973</v>
      </c>
    </row>
    <row r="350" spans="1:22" ht="15.5" x14ac:dyDescent="0.35">
      <c r="A350" s="4">
        <v>588</v>
      </c>
      <c r="B350" s="5" t="s">
        <v>1363</v>
      </c>
      <c r="C350" s="6">
        <v>43649</v>
      </c>
      <c r="D350" s="6">
        <v>43655</v>
      </c>
      <c r="E350" s="5" t="s">
        <v>36</v>
      </c>
      <c r="F350" s="5" t="s">
        <v>1364</v>
      </c>
      <c r="G350" s="5" t="s">
        <v>1365</v>
      </c>
      <c r="H350" s="5" t="s">
        <v>39</v>
      </c>
      <c r="I350" s="5" t="s">
        <v>27</v>
      </c>
      <c r="J350" s="5" t="s">
        <v>1032</v>
      </c>
      <c r="K350" s="5" t="s">
        <v>1033</v>
      </c>
      <c r="L350" s="5">
        <v>40475</v>
      </c>
      <c r="M350" s="5" t="s">
        <v>42</v>
      </c>
      <c r="N350" s="5" t="s">
        <v>1366</v>
      </c>
      <c r="O350" s="5" t="s">
        <v>32</v>
      </c>
      <c r="P350" s="5" t="s">
        <v>33</v>
      </c>
      <c r="Q350" s="5" t="s">
        <v>1367</v>
      </c>
      <c r="R350" s="5">
        <v>294.93</v>
      </c>
      <c r="S350" s="5">
        <v>3</v>
      </c>
      <c r="T350" s="5">
        <v>0</v>
      </c>
      <c r="U350" s="5">
        <v>884.79</v>
      </c>
      <c r="V350" s="7">
        <v>144.51570000000001</v>
      </c>
    </row>
    <row r="351" spans="1:22" ht="15.5" x14ac:dyDescent="0.35">
      <c r="A351" s="8">
        <v>590</v>
      </c>
      <c r="B351" s="9" t="s">
        <v>1368</v>
      </c>
      <c r="C351" s="10">
        <v>43910</v>
      </c>
      <c r="D351" s="10">
        <v>43914</v>
      </c>
      <c r="E351" s="9" t="s">
        <v>36</v>
      </c>
      <c r="F351" s="9" t="s">
        <v>1369</v>
      </c>
      <c r="G351" s="9" t="s">
        <v>1370</v>
      </c>
      <c r="H351" s="9" t="s">
        <v>39</v>
      </c>
      <c r="I351" s="9" t="s">
        <v>27</v>
      </c>
      <c r="J351" s="9" t="s">
        <v>1371</v>
      </c>
      <c r="K351" s="9" t="s">
        <v>308</v>
      </c>
      <c r="L351" s="9">
        <v>97301</v>
      </c>
      <c r="M351" s="9" t="s">
        <v>30</v>
      </c>
      <c r="N351" s="9" t="s">
        <v>1372</v>
      </c>
      <c r="O351" s="9" t="s">
        <v>32</v>
      </c>
      <c r="P351" s="9" t="s">
        <v>64</v>
      </c>
      <c r="Q351" s="9" t="s">
        <v>1373</v>
      </c>
      <c r="R351" s="9">
        <v>20.736000000000004</v>
      </c>
      <c r="S351" s="9">
        <v>4</v>
      </c>
      <c r="T351" s="9">
        <v>0.2</v>
      </c>
      <c r="U351" s="9">
        <v>66.355200000000011</v>
      </c>
      <c r="V351" s="11">
        <v>7.2576000000000001</v>
      </c>
    </row>
    <row r="352" spans="1:22" ht="15.5" x14ac:dyDescent="0.35">
      <c r="A352" s="4">
        <v>591</v>
      </c>
      <c r="B352" s="5" t="s">
        <v>1368</v>
      </c>
      <c r="C352" s="6">
        <v>43910</v>
      </c>
      <c r="D352" s="6">
        <v>43914</v>
      </c>
      <c r="E352" s="5" t="s">
        <v>36</v>
      </c>
      <c r="F352" s="5" t="s">
        <v>1369</v>
      </c>
      <c r="G352" s="5" t="s">
        <v>1370</v>
      </c>
      <c r="H352" s="5" t="s">
        <v>39</v>
      </c>
      <c r="I352" s="5" t="s">
        <v>27</v>
      </c>
      <c r="J352" s="5" t="s">
        <v>1371</v>
      </c>
      <c r="K352" s="5" t="s">
        <v>308</v>
      </c>
      <c r="L352" s="5">
        <v>97301</v>
      </c>
      <c r="M352" s="5" t="s">
        <v>30</v>
      </c>
      <c r="N352" s="5" t="s">
        <v>1186</v>
      </c>
      <c r="O352" s="5" t="s">
        <v>32</v>
      </c>
      <c r="P352" s="5" t="s">
        <v>53</v>
      </c>
      <c r="Q352" s="5" t="s">
        <v>1187</v>
      </c>
      <c r="R352" s="5">
        <v>16.821000000000005</v>
      </c>
      <c r="S352" s="5">
        <v>3</v>
      </c>
      <c r="T352" s="5">
        <v>0.7</v>
      </c>
      <c r="U352" s="5">
        <v>15.138900000000007</v>
      </c>
      <c r="V352" s="7">
        <v>-12.896100000000004</v>
      </c>
    </row>
    <row r="353" spans="1:22" ht="15.5" x14ac:dyDescent="0.35">
      <c r="A353" s="8">
        <v>592</v>
      </c>
      <c r="B353" s="9" t="s">
        <v>1368</v>
      </c>
      <c r="C353" s="10">
        <v>43910</v>
      </c>
      <c r="D353" s="10">
        <v>43914</v>
      </c>
      <c r="E353" s="9" t="s">
        <v>36</v>
      </c>
      <c r="F353" s="9" t="s">
        <v>1369</v>
      </c>
      <c r="G353" s="9" t="s">
        <v>1370</v>
      </c>
      <c r="H353" s="9" t="s">
        <v>39</v>
      </c>
      <c r="I353" s="9" t="s">
        <v>27</v>
      </c>
      <c r="J353" s="9" t="s">
        <v>1371</v>
      </c>
      <c r="K353" s="9" t="s">
        <v>308</v>
      </c>
      <c r="L353" s="9">
        <v>97301</v>
      </c>
      <c r="M353" s="9" t="s">
        <v>30</v>
      </c>
      <c r="N353" s="9" t="s">
        <v>1374</v>
      </c>
      <c r="O353" s="9" t="s">
        <v>32</v>
      </c>
      <c r="P353" s="9" t="s">
        <v>64</v>
      </c>
      <c r="Q353" s="9" t="s">
        <v>1375</v>
      </c>
      <c r="R353" s="9">
        <v>10.368000000000002</v>
      </c>
      <c r="S353" s="9">
        <v>2</v>
      </c>
      <c r="T353" s="9">
        <v>0.2</v>
      </c>
      <c r="U353" s="9">
        <v>16.588800000000003</v>
      </c>
      <c r="V353" s="11">
        <v>3.6288</v>
      </c>
    </row>
    <row r="354" spans="1:22" ht="15.5" x14ac:dyDescent="0.35">
      <c r="A354" s="4">
        <v>593</v>
      </c>
      <c r="B354" s="5" t="s">
        <v>1376</v>
      </c>
      <c r="C354" s="6">
        <v>43109</v>
      </c>
      <c r="D354" s="6">
        <v>43113</v>
      </c>
      <c r="E354" s="5" t="s">
        <v>36</v>
      </c>
      <c r="F354" s="5" t="s">
        <v>1377</v>
      </c>
      <c r="G354" s="5" t="s">
        <v>1378</v>
      </c>
      <c r="H354" s="5" t="s">
        <v>39</v>
      </c>
      <c r="I354" s="5" t="s">
        <v>27</v>
      </c>
      <c r="J354" s="5" t="s">
        <v>1379</v>
      </c>
      <c r="K354" s="5" t="s">
        <v>78</v>
      </c>
      <c r="L354" s="5">
        <v>78041</v>
      </c>
      <c r="M354" s="5" t="s">
        <v>79</v>
      </c>
      <c r="N354" s="5" t="s">
        <v>1380</v>
      </c>
      <c r="O354" s="5" t="s">
        <v>32</v>
      </c>
      <c r="P354" s="5" t="s">
        <v>50</v>
      </c>
      <c r="Q354" s="5" t="s">
        <v>1381</v>
      </c>
      <c r="R354" s="5">
        <v>9.3439999999999994</v>
      </c>
      <c r="S354" s="5">
        <v>2</v>
      </c>
      <c r="T354" s="5">
        <v>0.2</v>
      </c>
      <c r="U354" s="5">
        <v>14.950399999999998</v>
      </c>
      <c r="V354" s="7">
        <v>1.1679999999999997</v>
      </c>
    </row>
    <row r="355" spans="1:22" ht="15.5" x14ac:dyDescent="0.35">
      <c r="A355" s="8">
        <v>595</v>
      </c>
      <c r="B355" s="9" t="s">
        <v>1382</v>
      </c>
      <c r="C355" s="10">
        <v>43320</v>
      </c>
      <c r="D355" s="10">
        <v>43327</v>
      </c>
      <c r="E355" s="9" t="s">
        <v>36</v>
      </c>
      <c r="F355" s="9" t="s">
        <v>1383</v>
      </c>
      <c r="G355" s="9" t="s">
        <v>1384</v>
      </c>
      <c r="H355" s="9" t="s">
        <v>39</v>
      </c>
      <c r="I355" s="9" t="s">
        <v>27</v>
      </c>
      <c r="J355" s="9" t="s">
        <v>664</v>
      </c>
      <c r="K355" s="9" t="s">
        <v>29</v>
      </c>
      <c r="L355" s="9">
        <v>92024</v>
      </c>
      <c r="M355" s="9" t="s">
        <v>30</v>
      </c>
      <c r="N355" s="9" t="s">
        <v>1385</v>
      </c>
      <c r="O355" s="9" t="s">
        <v>32</v>
      </c>
      <c r="P355" s="9" t="s">
        <v>56</v>
      </c>
      <c r="Q355" s="9" t="s">
        <v>1386</v>
      </c>
      <c r="R355" s="9">
        <v>76.12</v>
      </c>
      <c r="S355" s="9">
        <v>2</v>
      </c>
      <c r="T355" s="9">
        <v>0</v>
      </c>
      <c r="U355" s="9">
        <v>152.24</v>
      </c>
      <c r="V355" s="11">
        <v>22.074799999999996</v>
      </c>
    </row>
    <row r="356" spans="1:22" ht="15.5" x14ac:dyDescent="0.35">
      <c r="A356" s="4">
        <v>599</v>
      </c>
      <c r="B356" s="5" t="s">
        <v>1387</v>
      </c>
      <c r="C356" s="6">
        <v>44026</v>
      </c>
      <c r="D356" s="6">
        <v>44028</v>
      </c>
      <c r="E356" s="5" t="s">
        <v>160</v>
      </c>
      <c r="F356" s="5" t="s">
        <v>1388</v>
      </c>
      <c r="G356" s="5" t="s">
        <v>1389</v>
      </c>
      <c r="H356" s="5" t="s">
        <v>39</v>
      </c>
      <c r="I356" s="5" t="s">
        <v>27</v>
      </c>
      <c r="J356" s="5" t="s">
        <v>123</v>
      </c>
      <c r="K356" s="5" t="s">
        <v>124</v>
      </c>
      <c r="L356" s="5">
        <v>19134</v>
      </c>
      <c r="M356" s="5" t="s">
        <v>125</v>
      </c>
      <c r="N356" s="5" t="s">
        <v>1390</v>
      </c>
      <c r="O356" s="5" t="s">
        <v>32</v>
      </c>
      <c r="P356" s="5" t="s">
        <v>414</v>
      </c>
      <c r="Q356" s="5" t="s">
        <v>1391</v>
      </c>
      <c r="R356" s="5">
        <v>11.632</v>
      </c>
      <c r="S356" s="5">
        <v>2</v>
      </c>
      <c r="T356" s="5">
        <v>0.2</v>
      </c>
      <c r="U356" s="5">
        <v>18.6112</v>
      </c>
      <c r="V356" s="7">
        <v>1.0178000000000007</v>
      </c>
    </row>
    <row r="357" spans="1:22" ht="15.5" x14ac:dyDescent="0.35">
      <c r="A357" s="8">
        <v>602</v>
      </c>
      <c r="B357" s="9" t="s">
        <v>1392</v>
      </c>
      <c r="C357" s="10">
        <v>44028</v>
      </c>
      <c r="D357" s="10">
        <v>44033</v>
      </c>
      <c r="E357" s="9" t="s">
        <v>36</v>
      </c>
      <c r="F357" s="9" t="s">
        <v>1393</v>
      </c>
      <c r="G357" s="9" t="s">
        <v>1394</v>
      </c>
      <c r="H357" s="9" t="s">
        <v>39</v>
      </c>
      <c r="I357" s="9" t="s">
        <v>27</v>
      </c>
      <c r="J357" s="9" t="s">
        <v>123</v>
      </c>
      <c r="K357" s="9" t="s">
        <v>124</v>
      </c>
      <c r="L357" s="9">
        <v>19120</v>
      </c>
      <c r="M357" s="9" t="s">
        <v>125</v>
      </c>
      <c r="N357" s="9" t="s">
        <v>1348</v>
      </c>
      <c r="O357" s="9" t="s">
        <v>32</v>
      </c>
      <c r="P357" s="9" t="s">
        <v>414</v>
      </c>
      <c r="Q357" s="9" t="s">
        <v>1349</v>
      </c>
      <c r="R357" s="9">
        <v>5.84</v>
      </c>
      <c r="S357" s="9">
        <v>2</v>
      </c>
      <c r="T357" s="9">
        <v>0.2</v>
      </c>
      <c r="U357" s="9">
        <v>9.3439999999999994</v>
      </c>
      <c r="V357" s="11">
        <v>0.72999999999999954</v>
      </c>
    </row>
    <row r="358" spans="1:22" ht="15.5" x14ac:dyDescent="0.35">
      <c r="A358" s="4">
        <v>603</v>
      </c>
      <c r="B358" s="5" t="s">
        <v>1395</v>
      </c>
      <c r="C358" s="6">
        <v>43174</v>
      </c>
      <c r="D358" s="6">
        <v>43178</v>
      </c>
      <c r="E358" s="5" t="s">
        <v>36</v>
      </c>
      <c r="F358" s="5" t="s">
        <v>1396</v>
      </c>
      <c r="G358" s="5" t="s">
        <v>1397</v>
      </c>
      <c r="H358" s="5" t="s">
        <v>39</v>
      </c>
      <c r="I358" s="5" t="s">
        <v>27</v>
      </c>
      <c r="J358" s="5" t="s">
        <v>639</v>
      </c>
      <c r="K358" s="5" t="s">
        <v>41</v>
      </c>
      <c r="L358" s="5">
        <v>33614</v>
      </c>
      <c r="M358" s="5" t="s">
        <v>42</v>
      </c>
      <c r="N358" s="5" t="s">
        <v>1398</v>
      </c>
      <c r="O358" s="5" t="s">
        <v>32</v>
      </c>
      <c r="P358" s="5" t="s">
        <v>44</v>
      </c>
      <c r="Q358" s="5" t="s">
        <v>1399</v>
      </c>
      <c r="R358" s="5">
        <v>142.77600000000001</v>
      </c>
      <c r="S358" s="5">
        <v>1</v>
      </c>
      <c r="T358" s="5">
        <v>0.2</v>
      </c>
      <c r="U358" s="5">
        <v>114.22080000000001</v>
      </c>
      <c r="V358" s="7">
        <v>17.84699999999998</v>
      </c>
    </row>
    <row r="359" spans="1:22" ht="15.5" x14ac:dyDescent="0.35">
      <c r="A359" s="8">
        <v>605</v>
      </c>
      <c r="B359" s="9" t="s">
        <v>1395</v>
      </c>
      <c r="C359" s="10">
        <v>43174</v>
      </c>
      <c r="D359" s="10">
        <v>43178</v>
      </c>
      <c r="E359" s="9" t="s">
        <v>36</v>
      </c>
      <c r="F359" s="9" t="s">
        <v>1396</v>
      </c>
      <c r="G359" s="9" t="s">
        <v>1397</v>
      </c>
      <c r="H359" s="9" t="s">
        <v>39</v>
      </c>
      <c r="I359" s="9" t="s">
        <v>27</v>
      </c>
      <c r="J359" s="9" t="s">
        <v>639</v>
      </c>
      <c r="K359" s="9" t="s">
        <v>41</v>
      </c>
      <c r="L359" s="9">
        <v>33614</v>
      </c>
      <c r="M359" s="9" t="s">
        <v>42</v>
      </c>
      <c r="N359" s="9" t="s">
        <v>1073</v>
      </c>
      <c r="O359" s="9" t="s">
        <v>32</v>
      </c>
      <c r="P359" s="9" t="s">
        <v>53</v>
      </c>
      <c r="Q359" s="9" t="s">
        <v>1074</v>
      </c>
      <c r="R359" s="9">
        <v>7.218</v>
      </c>
      <c r="S359" s="9">
        <v>3</v>
      </c>
      <c r="T359" s="9">
        <v>0.7</v>
      </c>
      <c r="U359" s="9">
        <v>6.4962000000000018</v>
      </c>
      <c r="V359" s="11">
        <v>-5.5338000000000012</v>
      </c>
    </row>
    <row r="360" spans="1:22" ht="15.5" x14ac:dyDescent="0.35">
      <c r="A360" s="4">
        <v>606</v>
      </c>
      <c r="B360" s="5" t="s">
        <v>1395</v>
      </c>
      <c r="C360" s="6">
        <v>43174</v>
      </c>
      <c r="D360" s="6">
        <v>43178</v>
      </c>
      <c r="E360" s="5" t="s">
        <v>36</v>
      </c>
      <c r="F360" s="5" t="s">
        <v>1396</v>
      </c>
      <c r="G360" s="5" t="s">
        <v>1397</v>
      </c>
      <c r="H360" s="5" t="s">
        <v>39</v>
      </c>
      <c r="I360" s="5" t="s">
        <v>27</v>
      </c>
      <c r="J360" s="5" t="s">
        <v>639</v>
      </c>
      <c r="K360" s="5" t="s">
        <v>41</v>
      </c>
      <c r="L360" s="5">
        <v>33614</v>
      </c>
      <c r="M360" s="5" t="s">
        <v>42</v>
      </c>
      <c r="N360" s="5" t="s">
        <v>1049</v>
      </c>
      <c r="O360" s="5" t="s">
        <v>32</v>
      </c>
      <c r="P360" s="5" t="s">
        <v>53</v>
      </c>
      <c r="Q360" s="5" t="s">
        <v>1050</v>
      </c>
      <c r="R360" s="5">
        <v>43.188000000000009</v>
      </c>
      <c r="S360" s="5">
        <v>4</v>
      </c>
      <c r="T360" s="5">
        <v>0.7</v>
      </c>
      <c r="U360" s="5">
        <v>51.825600000000023</v>
      </c>
      <c r="V360" s="7">
        <v>-31.671199999999999</v>
      </c>
    </row>
    <row r="361" spans="1:22" ht="15.5" x14ac:dyDescent="0.35">
      <c r="A361" s="8">
        <v>607</v>
      </c>
      <c r="B361" s="9" t="s">
        <v>1395</v>
      </c>
      <c r="C361" s="10">
        <v>43174</v>
      </c>
      <c r="D361" s="10">
        <v>43178</v>
      </c>
      <c r="E361" s="9" t="s">
        <v>36</v>
      </c>
      <c r="F361" s="9" t="s">
        <v>1396</v>
      </c>
      <c r="G361" s="9" t="s">
        <v>1397</v>
      </c>
      <c r="H361" s="9" t="s">
        <v>39</v>
      </c>
      <c r="I361" s="9" t="s">
        <v>27</v>
      </c>
      <c r="J361" s="9" t="s">
        <v>639</v>
      </c>
      <c r="K361" s="9" t="s">
        <v>41</v>
      </c>
      <c r="L361" s="9">
        <v>33614</v>
      </c>
      <c r="M361" s="9" t="s">
        <v>42</v>
      </c>
      <c r="N361" s="9" t="s">
        <v>1400</v>
      </c>
      <c r="O361" s="9" t="s">
        <v>32</v>
      </c>
      <c r="P361" s="9" t="s">
        <v>64</v>
      </c>
      <c r="Q361" s="9" t="s">
        <v>1401</v>
      </c>
      <c r="R361" s="9">
        <v>131.904</v>
      </c>
      <c r="S361" s="9">
        <v>3</v>
      </c>
      <c r="T361" s="9">
        <v>0.2</v>
      </c>
      <c r="U361" s="9">
        <v>316.56959999999998</v>
      </c>
      <c r="V361" s="11">
        <v>47.815200000000004</v>
      </c>
    </row>
    <row r="362" spans="1:22" ht="15.5" x14ac:dyDescent="0.35">
      <c r="A362" s="4">
        <v>608</v>
      </c>
      <c r="B362" s="5" t="s">
        <v>1402</v>
      </c>
      <c r="C362" s="6">
        <v>43243</v>
      </c>
      <c r="D362" s="6">
        <v>43247</v>
      </c>
      <c r="E362" s="5" t="s">
        <v>36</v>
      </c>
      <c r="F362" s="5" t="s">
        <v>1403</v>
      </c>
      <c r="G362" s="5" t="s">
        <v>1404</v>
      </c>
      <c r="H362" s="5" t="s">
        <v>39</v>
      </c>
      <c r="I362" s="5" t="s">
        <v>27</v>
      </c>
      <c r="J362" s="5" t="s">
        <v>123</v>
      </c>
      <c r="K362" s="5" t="s">
        <v>124</v>
      </c>
      <c r="L362" s="5">
        <v>19134</v>
      </c>
      <c r="M362" s="5" t="s">
        <v>125</v>
      </c>
      <c r="N362" s="5" t="s">
        <v>1405</v>
      </c>
      <c r="O362" s="5" t="s">
        <v>32</v>
      </c>
      <c r="P362" s="5" t="s">
        <v>53</v>
      </c>
      <c r="Q362" s="5" t="s">
        <v>1406</v>
      </c>
      <c r="R362" s="5">
        <v>3.2820000000000005</v>
      </c>
      <c r="S362" s="5">
        <v>2</v>
      </c>
      <c r="T362" s="5">
        <v>0.7</v>
      </c>
      <c r="U362" s="5">
        <v>1.9692000000000007</v>
      </c>
      <c r="V362" s="7">
        <v>-2.6256000000000004</v>
      </c>
    </row>
    <row r="363" spans="1:22" ht="15.5" x14ac:dyDescent="0.35">
      <c r="A363" s="8">
        <v>609</v>
      </c>
      <c r="B363" s="9" t="s">
        <v>1402</v>
      </c>
      <c r="C363" s="10">
        <v>43243</v>
      </c>
      <c r="D363" s="10">
        <v>43247</v>
      </c>
      <c r="E363" s="9" t="s">
        <v>36</v>
      </c>
      <c r="F363" s="9" t="s">
        <v>1403</v>
      </c>
      <c r="G363" s="9" t="s">
        <v>1404</v>
      </c>
      <c r="H363" s="9" t="s">
        <v>39</v>
      </c>
      <c r="I363" s="9" t="s">
        <v>27</v>
      </c>
      <c r="J363" s="9" t="s">
        <v>123</v>
      </c>
      <c r="K363" s="9" t="s">
        <v>124</v>
      </c>
      <c r="L363" s="9">
        <v>19134</v>
      </c>
      <c r="M363" s="9" t="s">
        <v>125</v>
      </c>
      <c r="N363" s="9" t="s">
        <v>1218</v>
      </c>
      <c r="O363" s="9" t="s">
        <v>32</v>
      </c>
      <c r="P363" s="9" t="s">
        <v>50</v>
      </c>
      <c r="Q363" s="9" t="s">
        <v>1219</v>
      </c>
      <c r="R363" s="9">
        <v>21.167999999999999</v>
      </c>
      <c r="S363" s="9">
        <v>9</v>
      </c>
      <c r="T363" s="9">
        <v>0.2</v>
      </c>
      <c r="U363" s="9">
        <v>152.40960000000001</v>
      </c>
      <c r="V363" s="11">
        <v>2.3813999999999984</v>
      </c>
    </row>
    <row r="364" spans="1:22" ht="15.5" x14ac:dyDescent="0.35">
      <c r="A364" s="4">
        <v>612</v>
      </c>
      <c r="B364" s="5" t="s">
        <v>1407</v>
      </c>
      <c r="C364" s="6">
        <v>43949</v>
      </c>
      <c r="D364" s="6">
        <v>43952</v>
      </c>
      <c r="E364" s="5" t="s">
        <v>160</v>
      </c>
      <c r="F364" s="5" t="s">
        <v>1408</v>
      </c>
      <c r="G364" s="5" t="s">
        <v>1409</v>
      </c>
      <c r="H364" s="5" t="s">
        <v>26</v>
      </c>
      <c r="I364" s="5" t="s">
        <v>27</v>
      </c>
      <c r="J364" s="5" t="s">
        <v>593</v>
      </c>
      <c r="K364" s="5" t="s">
        <v>78</v>
      </c>
      <c r="L364" s="5">
        <v>75217</v>
      </c>
      <c r="M364" s="5" t="s">
        <v>79</v>
      </c>
      <c r="N364" s="5" t="s">
        <v>1410</v>
      </c>
      <c r="O364" s="5" t="s">
        <v>32</v>
      </c>
      <c r="P364" s="5" t="s">
        <v>33</v>
      </c>
      <c r="Q364" s="5" t="s">
        <v>1411</v>
      </c>
      <c r="R364" s="5">
        <v>15.712000000000002</v>
      </c>
      <c r="S364" s="5">
        <v>4</v>
      </c>
      <c r="T364" s="5">
        <v>0.2</v>
      </c>
      <c r="U364" s="5">
        <v>50.278400000000005</v>
      </c>
      <c r="V364" s="7">
        <v>5.6955999999999989</v>
      </c>
    </row>
    <row r="365" spans="1:22" ht="15.5" x14ac:dyDescent="0.35">
      <c r="A365" s="8">
        <v>613</v>
      </c>
      <c r="B365" s="9" t="s">
        <v>1412</v>
      </c>
      <c r="C365" s="10">
        <v>44085</v>
      </c>
      <c r="D365" s="10">
        <v>44087</v>
      </c>
      <c r="E365" s="9" t="s">
        <v>23</v>
      </c>
      <c r="F365" s="9" t="s">
        <v>1413</v>
      </c>
      <c r="G365" s="9" t="s">
        <v>1414</v>
      </c>
      <c r="H365" s="9" t="s">
        <v>26</v>
      </c>
      <c r="I365" s="9" t="s">
        <v>27</v>
      </c>
      <c r="J365" s="9" t="s">
        <v>123</v>
      </c>
      <c r="K365" s="9" t="s">
        <v>124</v>
      </c>
      <c r="L365" s="9">
        <v>19143</v>
      </c>
      <c r="M365" s="9" t="s">
        <v>125</v>
      </c>
      <c r="N365" s="9" t="s">
        <v>1415</v>
      </c>
      <c r="O365" s="9" t="s">
        <v>32</v>
      </c>
      <c r="P365" s="9" t="s">
        <v>64</v>
      </c>
      <c r="Q365" s="9" t="s">
        <v>1416</v>
      </c>
      <c r="R365" s="9">
        <v>8.4480000000000004</v>
      </c>
      <c r="S365" s="9">
        <v>2</v>
      </c>
      <c r="T365" s="9">
        <v>0.2</v>
      </c>
      <c r="U365" s="9">
        <v>13.5168</v>
      </c>
      <c r="V365" s="11">
        <v>2.6399999999999997</v>
      </c>
    </row>
    <row r="366" spans="1:22" ht="15.5" x14ac:dyDescent="0.35">
      <c r="A366" s="4">
        <v>616</v>
      </c>
      <c r="B366" s="5" t="s">
        <v>1417</v>
      </c>
      <c r="C366" s="6">
        <v>44514</v>
      </c>
      <c r="D366" s="6">
        <v>44517</v>
      </c>
      <c r="E366" s="5" t="s">
        <v>23</v>
      </c>
      <c r="F366" s="5" t="s">
        <v>1418</v>
      </c>
      <c r="G366" s="5" t="s">
        <v>1419</v>
      </c>
      <c r="H366" s="5" t="s">
        <v>39</v>
      </c>
      <c r="I366" s="5" t="s">
        <v>27</v>
      </c>
      <c r="J366" s="5" t="s">
        <v>1420</v>
      </c>
      <c r="K366" s="5" t="s">
        <v>360</v>
      </c>
      <c r="L366" s="5">
        <v>43123</v>
      </c>
      <c r="M366" s="5" t="s">
        <v>125</v>
      </c>
      <c r="N366" s="5" t="s">
        <v>1421</v>
      </c>
      <c r="O366" s="5" t="s">
        <v>32</v>
      </c>
      <c r="P366" s="5" t="s">
        <v>53</v>
      </c>
      <c r="Q366" s="5" t="s">
        <v>1422</v>
      </c>
      <c r="R366" s="5">
        <v>3.6480000000000006</v>
      </c>
      <c r="S366" s="5">
        <v>2</v>
      </c>
      <c r="T366" s="5">
        <v>0.7</v>
      </c>
      <c r="U366" s="5">
        <v>2.1888000000000005</v>
      </c>
      <c r="V366" s="7">
        <v>-2.7967999999999993</v>
      </c>
    </row>
    <row r="367" spans="1:22" ht="15.5" x14ac:dyDescent="0.35">
      <c r="A367" s="8">
        <v>619</v>
      </c>
      <c r="B367" s="9" t="s">
        <v>1423</v>
      </c>
      <c r="C367" s="10">
        <v>44426</v>
      </c>
      <c r="D367" s="10">
        <v>44431</v>
      </c>
      <c r="E367" s="9" t="s">
        <v>23</v>
      </c>
      <c r="F367" s="9" t="s">
        <v>1424</v>
      </c>
      <c r="G367" s="9" t="s">
        <v>1425</v>
      </c>
      <c r="H367" s="9" t="s">
        <v>26</v>
      </c>
      <c r="I367" s="9" t="s">
        <v>27</v>
      </c>
      <c r="J367" s="9" t="s">
        <v>186</v>
      </c>
      <c r="K367" s="9" t="s">
        <v>187</v>
      </c>
      <c r="L367" s="9">
        <v>10011</v>
      </c>
      <c r="M367" s="9" t="s">
        <v>125</v>
      </c>
      <c r="N367" s="9" t="s">
        <v>1426</v>
      </c>
      <c r="O367" s="9" t="s">
        <v>32</v>
      </c>
      <c r="P367" s="9" t="s">
        <v>53</v>
      </c>
      <c r="Q367" s="9" t="s">
        <v>1427</v>
      </c>
      <c r="R367" s="9">
        <v>107.42400000000001</v>
      </c>
      <c r="S367" s="9">
        <v>9</v>
      </c>
      <c r="T367" s="9">
        <v>0.2</v>
      </c>
      <c r="U367" s="9">
        <v>773.45280000000002</v>
      </c>
      <c r="V367" s="11">
        <v>33.569999999999986</v>
      </c>
    </row>
    <row r="368" spans="1:22" ht="15.5" x14ac:dyDescent="0.35">
      <c r="A368" s="4">
        <v>622</v>
      </c>
      <c r="B368" s="5" t="s">
        <v>1428</v>
      </c>
      <c r="C368" s="6">
        <v>43460</v>
      </c>
      <c r="D368" s="6">
        <v>43465</v>
      </c>
      <c r="E368" s="5" t="s">
        <v>36</v>
      </c>
      <c r="F368" s="5" t="s">
        <v>1429</v>
      </c>
      <c r="G368" s="5" t="s">
        <v>1430</v>
      </c>
      <c r="H368" s="5" t="s">
        <v>39</v>
      </c>
      <c r="I368" s="5" t="s">
        <v>27</v>
      </c>
      <c r="J368" s="5" t="s">
        <v>274</v>
      </c>
      <c r="K368" s="5" t="s">
        <v>275</v>
      </c>
      <c r="L368" s="5">
        <v>60610</v>
      </c>
      <c r="M368" s="5" t="s">
        <v>79</v>
      </c>
      <c r="N368" s="5" t="s">
        <v>1431</v>
      </c>
      <c r="O368" s="5" t="s">
        <v>32</v>
      </c>
      <c r="P368" s="5" t="s">
        <v>53</v>
      </c>
      <c r="Q368" s="5" t="s">
        <v>1432</v>
      </c>
      <c r="R368" s="5">
        <v>8.6899999999999977</v>
      </c>
      <c r="S368" s="5">
        <v>5</v>
      </c>
      <c r="T368" s="5">
        <v>0.8</v>
      </c>
      <c r="U368" s="5">
        <v>8.6899999999999977</v>
      </c>
      <c r="V368" s="7">
        <v>-14.773</v>
      </c>
    </row>
    <row r="369" spans="1:22" ht="15.5" x14ac:dyDescent="0.35">
      <c r="A369" s="8">
        <v>624</v>
      </c>
      <c r="B369" s="9" t="s">
        <v>1433</v>
      </c>
      <c r="C369" s="10">
        <v>43798</v>
      </c>
      <c r="D369" s="10">
        <v>43802</v>
      </c>
      <c r="E369" s="9" t="s">
        <v>36</v>
      </c>
      <c r="F369" s="9" t="s">
        <v>1434</v>
      </c>
      <c r="G369" s="9" t="s">
        <v>1435</v>
      </c>
      <c r="H369" s="9" t="s">
        <v>26</v>
      </c>
      <c r="I369" s="9" t="s">
        <v>27</v>
      </c>
      <c r="J369" s="9" t="s">
        <v>1436</v>
      </c>
      <c r="K369" s="9" t="s">
        <v>171</v>
      </c>
      <c r="L369" s="9">
        <v>48126</v>
      </c>
      <c r="M369" s="9" t="s">
        <v>79</v>
      </c>
      <c r="N369" s="9" t="s">
        <v>1437</v>
      </c>
      <c r="O369" s="9" t="s">
        <v>32</v>
      </c>
      <c r="P369" s="9" t="s">
        <v>56</v>
      </c>
      <c r="Q369" s="9" t="s">
        <v>1438</v>
      </c>
      <c r="R369" s="9">
        <v>555.21</v>
      </c>
      <c r="S369" s="9">
        <v>5</v>
      </c>
      <c r="T369" s="9">
        <v>0.1</v>
      </c>
      <c r="U369" s="9">
        <v>2498.4450000000002</v>
      </c>
      <c r="V369" s="11">
        <v>178.90100000000001</v>
      </c>
    </row>
    <row r="370" spans="1:22" ht="15.5" x14ac:dyDescent="0.35">
      <c r="A370" s="4">
        <v>625</v>
      </c>
      <c r="B370" s="5" t="s">
        <v>1433</v>
      </c>
      <c r="C370" s="6">
        <v>43798</v>
      </c>
      <c r="D370" s="6">
        <v>43802</v>
      </c>
      <c r="E370" s="5" t="s">
        <v>36</v>
      </c>
      <c r="F370" s="5" t="s">
        <v>1434</v>
      </c>
      <c r="G370" s="5" t="s">
        <v>1435</v>
      </c>
      <c r="H370" s="5" t="s">
        <v>26</v>
      </c>
      <c r="I370" s="5" t="s">
        <v>27</v>
      </c>
      <c r="J370" s="5" t="s">
        <v>1436</v>
      </c>
      <c r="K370" s="5" t="s">
        <v>171</v>
      </c>
      <c r="L370" s="5">
        <v>48126</v>
      </c>
      <c r="M370" s="5" t="s">
        <v>79</v>
      </c>
      <c r="N370" s="5" t="s">
        <v>1439</v>
      </c>
      <c r="O370" s="5" t="s">
        <v>32</v>
      </c>
      <c r="P370" s="5" t="s">
        <v>44</v>
      </c>
      <c r="Q370" s="5" t="s">
        <v>1440</v>
      </c>
      <c r="R370" s="5">
        <v>523.48</v>
      </c>
      <c r="S370" s="5">
        <v>4</v>
      </c>
      <c r="T370" s="5">
        <v>0</v>
      </c>
      <c r="U370" s="5">
        <v>2093.92</v>
      </c>
      <c r="V370" s="7">
        <v>130.87</v>
      </c>
    </row>
    <row r="371" spans="1:22" ht="15.5" x14ac:dyDescent="0.35">
      <c r="A371" s="8">
        <v>626</v>
      </c>
      <c r="B371" s="9" t="s">
        <v>1433</v>
      </c>
      <c r="C371" s="10">
        <v>43798</v>
      </c>
      <c r="D371" s="10">
        <v>43802</v>
      </c>
      <c r="E371" s="9" t="s">
        <v>36</v>
      </c>
      <c r="F371" s="9" t="s">
        <v>1434</v>
      </c>
      <c r="G371" s="9" t="s">
        <v>1435</v>
      </c>
      <c r="H371" s="9" t="s">
        <v>26</v>
      </c>
      <c r="I371" s="9" t="s">
        <v>27</v>
      </c>
      <c r="J371" s="9" t="s">
        <v>1436</v>
      </c>
      <c r="K371" s="9" t="s">
        <v>171</v>
      </c>
      <c r="L371" s="9">
        <v>48126</v>
      </c>
      <c r="M371" s="9" t="s">
        <v>79</v>
      </c>
      <c r="N371" s="9" t="s">
        <v>131</v>
      </c>
      <c r="O371" s="9" t="s">
        <v>32</v>
      </c>
      <c r="P371" s="9" t="s">
        <v>50</v>
      </c>
      <c r="Q371" s="9" t="s">
        <v>132</v>
      </c>
      <c r="R371" s="9">
        <v>161.82</v>
      </c>
      <c r="S371" s="9">
        <v>9</v>
      </c>
      <c r="T371" s="9">
        <v>0</v>
      </c>
      <c r="U371" s="9">
        <v>1456.3799999999999</v>
      </c>
      <c r="V371" s="11">
        <v>46.927799999999984</v>
      </c>
    </row>
    <row r="372" spans="1:22" ht="15.5" x14ac:dyDescent="0.35">
      <c r="A372" s="4">
        <v>628</v>
      </c>
      <c r="B372" s="5" t="s">
        <v>1441</v>
      </c>
      <c r="C372" s="6">
        <v>44335</v>
      </c>
      <c r="D372" s="6">
        <v>44339</v>
      </c>
      <c r="E372" s="5" t="s">
        <v>36</v>
      </c>
      <c r="F372" s="5" t="s">
        <v>1442</v>
      </c>
      <c r="G372" s="5" t="s">
        <v>1443</v>
      </c>
      <c r="H372" s="5" t="s">
        <v>39</v>
      </c>
      <c r="I372" s="5" t="s">
        <v>27</v>
      </c>
      <c r="J372" s="5" t="s">
        <v>69</v>
      </c>
      <c r="K372" s="5" t="s">
        <v>70</v>
      </c>
      <c r="L372" s="5">
        <v>98115</v>
      </c>
      <c r="M372" s="5" t="s">
        <v>30</v>
      </c>
      <c r="N372" s="5" t="s">
        <v>1444</v>
      </c>
      <c r="O372" s="5" t="s">
        <v>32</v>
      </c>
      <c r="P372" s="5" t="s">
        <v>56</v>
      </c>
      <c r="Q372" s="5" t="s">
        <v>1445</v>
      </c>
      <c r="R372" s="5">
        <v>97.16</v>
      </c>
      <c r="S372" s="5">
        <v>2</v>
      </c>
      <c r="T372" s="5">
        <v>0</v>
      </c>
      <c r="U372" s="5">
        <v>194.32</v>
      </c>
      <c r="V372" s="7">
        <v>28.176399999999987</v>
      </c>
    </row>
    <row r="373" spans="1:22" ht="15.5" x14ac:dyDescent="0.35">
      <c r="A373" s="8">
        <v>629</v>
      </c>
      <c r="B373" s="9" t="s">
        <v>1446</v>
      </c>
      <c r="C373" s="10">
        <v>44547</v>
      </c>
      <c r="D373" s="10">
        <v>44551</v>
      </c>
      <c r="E373" s="9" t="s">
        <v>36</v>
      </c>
      <c r="F373" s="9" t="s">
        <v>591</v>
      </c>
      <c r="G373" s="9" t="s">
        <v>592</v>
      </c>
      <c r="H373" s="9" t="s">
        <v>39</v>
      </c>
      <c r="I373" s="9" t="s">
        <v>27</v>
      </c>
      <c r="J373" s="9" t="s">
        <v>101</v>
      </c>
      <c r="K373" s="9" t="s">
        <v>29</v>
      </c>
      <c r="L373" s="9">
        <v>94122</v>
      </c>
      <c r="M373" s="9" t="s">
        <v>30</v>
      </c>
      <c r="N373" s="9" t="s">
        <v>1447</v>
      </c>
      <c r="O373" s="9" t="s">
        <v>32</v>
      </c>
      <c r="P373" s="9" t="s">
        <v>53</v>
      </c>
      <c r="Q373" s="9" t="s">
        <v>1448</v>
      </c>
      <c r="R373" s="9">
        <v>15.24</v>
      </c>
      <c r="S373" s="9">
        <v>5</v>
      </c>
      <c r="T373" s="9">
        <v>0.2</v>
      </c>
      <c r="U373" s="9">
        <v>60.96</v>
      </c>
      <c r="V373" s="11">
        <v>5.1434999999999977</v>
      </c>
    </row>
    <row r="374" spans="1:22" ht="15.5" x14ac:dyDescent="0.35">
      <c r="A374" s="4">
        <v>630</v>
      </c>
      <c r="B374" s="5" t="s">
        <v>1446</v>
      </c>
      <c r="C374" s="6">
        <v>44547</v>
      </c>
      <c r="D374" s="6">
        <v>44551</v>
      </c>
      <c r="E374" s="5" t="s">
        <v>36</v>
      </c>
      <c r="F374" s="5" t="s">
        <v>591</v>
      </c>
      <c r="G374" s="5" t="s">
        <v>592</v>
      </c>
      <c r="H374" s="5" t="s">
        <v>39</v>
      </c>
      <c r="I374" s="5" t="s">
        <v>27</v>
      </c>
      <c r="J374" s="5" t="s">
        <v>101</v>
      </c>
      <c r="K374" s="5" t="s">
        <v>29</v>
      </c>
      <c r="L374" s="5">
        <v>94122</v>
      </c>
      <c r="M374" s="5" t="s">
        <v>30</v>
      </c>
      <c r="N374" s="5" t="s">
        <v>721</v>
      </c>
      <c r="O374" s="5" t="s">
        <v>32</v>
      </c>
      <c r="P374" s="5" t="s">
        <v>64</v>
      </c>
      <c r="Q374" s="5" t="s">
        <v>722</v>
      </c>
      <c r="R374" s="5">
        <v>13.23</v>
      </c>
      <c r="S374" s="5">
        <v>3</v>
      </c>
      <c r="T374" s="5">
        <v>0</v>
      </c>
      <c r="U374" s="5">
        <v>39.69</v>
      </c>
      <c r="V374" s="7">
        <v>6.0857999999999999</v>
      </c>
    </row>
    <row r="375" spans="1:22" ht="15.5" x14ac:dyDescent="0.35">
      <c r="A375" s="8">
        <v>631</v>
      </c>
      <c r="B375" s="9" t="s">
        <v>1449</v>
      </c>
      <c r="C375" s="10">
        <v>44176</v>
      </c>
      <c r="D375" s="10">
        <v>44178</v>
      </c>
      <c r="E375" s="9" t="s">
        <v>23</v>
      </c>
      <c r="F375" s="9" t="s">
        <v>1450</v>
      </c>
      <c r="G375" s="9" t="s">
        <v>1451</v>
      </c>
      <c r="H375" s="9" t="s">
        <v>39</v>
      </c>
      <c r="I375" s="9" t="s">
        <v>27</v>
      </c>
      <c r="J375" s="9" t="s">
        <v>337</v>
      </c>
      <c r="K375" s="9" t="s">
        <v>338</v>
      </c>
      <c r="L375" s="9">
        <v>80013</v>
      </c>
      <c r="M375" s="9" t="s">
        <v>30</v>
      </c>
      <c r="N375" s="9" t="s">
        <v>1452</v>
      </c>
      <c r="O375" s="9" t="s">
        <v>32</v>
      </c>
      <c r="P375" s="9" t="s">
        <v>44</v>
      </c>
      <c r="Q375" s="9" t="s">
        <v>1453</v>
      </c>
      <c r="R375" s="9">
        <v>243.38400000000001</v>
      </c>
      <c r="S375" s="9">
        <v>3</v>
      </c>
      <c r="T375" s="9">
        <v>0.2</v>
      </c>
      <c r="U375" s="9">
        <v>584.12160000000006</v>
      </c>
      <c r="V375" s="11">
        <v>-51.719100000000012</v>
      </c>
    </row>
    <row r="376" spans="1:22" ht="15.5" x14ac:dyDescent="0.35">
      <c r="A376" s="4">
        <v>635</v>
      </c>
      <c r="B376" s="5" t="s">
        <v>1454</v>
      </c>
      <c r="C376" s="6">
        <v>44463</v>
      </c>
      <c r="D376" s="6">
        <v>44465</v>
      </c>
      <c r="E376" s="5" t="s">
        <v>23</v>
      </c>
      <c r="F376" s="5" t="s">
        <v>1239</v>
      </c>
      <c r="G376" s="5" t="s">
        <v>1240</v>
      </c>
      <c r="H376" s="5" t="s">
        <v>39</v>
      </c>
      <c r="I376" s="5" t="s">
        <v>27</v>
      </c>
      <c r="J376" s="5" t="s">
        <v>999</v>
      </c>
      <c r="K376" s="5" t="s">
        <v>41</v>
      </c>
      <c r="L376" s="5">
        <v>33180</v>
      </c>
      <c r="M376" s="5" t="s">
        <v>42</v>
      </c>
      <c r="N376" s="5" t="s">
        <v>1366</v>
      </c>
      <c r="O376" s="5" t="s">
        <v>32</v>
      </c>
      <c r="P376" s="5" t="s">
        <v>33</v>
      </c>
      <c r="Q376" s="5" t="s">
        <v>1367</v>
      </c>
      <c r="R376" s="5">
        <v>235.94400000000002</v>
      </c>
      <c r="S376" s="5">
        <v>3</v>
      </c>
      <c r="T376" s="5">
        <v>0.2</v>
      </c>
      <c r="U376" s="5">
        <v>566.26560000000006</v>
      </c>
      <c r="V376" s="7">
        <v>85.529700000000005</v>
      </c>
    </row>
    <row r="377" spans="1:22" ht="15.5" x14ac:dyDescent="0.35">
      <c r="A377" s="8">
        <v>637</v>
      </c>
      <c r="B377" s="9" t="s">
        <v>1455</v>
      </c>
      <c r="C377" s="10">
        <v>44058</v>
      </c>
      <c r="D377" s="10">
        <v>44064</v>
      </c>
      <c r="E377" s="9" t="s">
        <v>36</v>
      </c>
      <c r="F377" s="9" t="s">
        <v>1456</v>
      </c>
      <c r="G377" s="9" t="s">
        <v>1457</v>
      </c>
      <c r="H377" s="9" t="s">
        <v>39</v>
      </c>
      <c r="I377" s="9" t="s">
        <v>27</v>
      </c>
      <c r="J377" s="9" t="s">
        <v>337</v>
      </c>
      <c r="K377" s="9" t="s">
        <v>338</v>
      </c>
      <c r="L377" s="9">
        <v>80013</v>
      </c>
      <c r="M377" s="9" t="s">
        <v>30</v>
      </c>
      <c r="N377" s="9" t="s">
        <v>1458</v>
      </c>
      <c r="O377" s="9" t="s">
        <v>32</v>
      </c>
      <c r="P377" s="9" t="s">
        <v>53</v>
      </c>
      <c r="Q377" s="9" t="s">
        <v>1459</v>
      </c>
      <c r="R377" s="9">
        <v>18.882000000000005</v>
      </c>
      <c r="S377" s="9">
        <v>3</v>
      </c>
      <c r="T377" s="9">
        <v>0.7</v>
      </c>
      <c r="U377" s="9">
        <v>16.993800000000007</v>
      </c>
      <c r="V377" s="11">
        <v>-13.846800000000002</v>
      </c>
    </row>
    <row r="378" spans="1:22" ht="15.5" x14ac:dyDescent="0.35">
      <c r="A378" s="4">
        <v>638</v>
      </c>
      <c r="B378" s="5" t="s">
        <v>1455</v>
      </c>
      <c r="C378" s="6">
        <v>44058</v>
      </c>
      <c r="D378" s="6">
        <v>44064</v>
      </c>
      <c r="E378" s="5" t="s">
        <v>36</v>
      </c>
      <c r="F378" s="5" t="s">
        <v>1456</v>
      </c>
      <c r="G378" s="5" t="s">
        <v>1457</v>
      </c>
      <c r="H378" s="5" t="s">
        <v>39</v>
      </c>
      <c r="I378" s="5" t="s">
        <v>27</v>
      </c>
      <c r="J378" s="5" t="s">
        <v>337</v>
      </c>
      <c r="K378" s="5" t="s">
        <v>338</v>
      </c>
      <c r="L378" s="5">
        <v>80013</v>
      </c>
      <c r="M378" s="5" t="s">
        <v>30</v>
      </c>
      <c r="N378" s="5" t="s">
        <v>1460</v>
      </c>
      <c r="O378" s="5" t="s">
        <v>32</v>
      </c>
      <c r="P378" s="5" t="s">
        <v>56</v>
      </c>
      <c r="Q378" s="5" t="s">
        <v>1461</v>
      </c>
      <c r="R378" s="5">
        <v>122.328</v>
      </c>
      <c r="S378" s="5">
        <v>3</v>
      </c>
      <c r="T378" s="5">
        <v>0.2</v>
      </c>
      <c r="U378" s="5">
        <v>293.58720000000005</v>
      </c>
      <c r="V378" s="7">
        <v>12.232799999999997</v>
      </c>
    </row>
    <row r="379" spans="1:22" ht="15.5" x14ac:dyDescent="0.35">
      <c r="A379" s="8">
        <v>640</v>
      </c>
      <c r="B379" s="9" t="s">
        <v>1462</v>
      </c>
      <c r="C379" s="10">
        <v>43971</v>
      </c>
      <c r="D379" s="10">
        <v>43976</v>
      </c>
      <c r="E379" s="9" t="s">
        <v>36</v>
      </c>
      <c r="F379" s="9" t="s">
        <v>323</v>
      </c>
      <c r="G379" s="9" t="s">
        <v>324</v>
      </c>
      <c r="H379" s="9" t="s">
        <v>76</v>
      </c>
      <c r="I379" s="9" t="s">
        <v>27</v>
      </c>
      <c r="J379" s="9" t="s">
        <v>1463</v>
      </c>
      <c r="K379" s="9" t="s">
        <v>29</v>
      </c>
      <c r="L379" s="9">
        <v>94591</v>
      </c>
      <c r="M379" s="9" t="s">
        <v>30</v>
      </c>
      <c r="N379" s="9" t="s">
        <v>1464</v>
      </c>
      <c r="O379" s="9" t="s">
        <v>32</v>
      </c>
      <c r="P379" s="9" t="s">
        <v>53</v>
      </c>
      <c r="Q379" s="9" t="s">
        <v>1465</v>
      </c>
      <c r="R379" s="9">
        <v>15.424000000000001</v>
      </c>
      <c r="S379" s="9">
        <v>4</v>
      </c>
      <c r="T379" s="9">
        <v>0.2</v>
      </c>
      <c r="U379" s="9">
        <v>49.356800000000007</v>
      </c>
      <c r="V379" s="11">
        <v>5.0128000000000004</v>
      </c>
    </row>
    <row r="380" spans="1:22" ht="15.5" x14ac:dyDescent="0.35">
      <c r="A380" s="4">
        <v>642</v>
      </c>
      <c r="B380" s="5" t="s">
        <v>1466</v>
      </c>
      <c r="C380" s="6">
        <v>44407</v>
      </c>
      <c r="D380" s="6">
        <v>44411</v>
      </c>
      <c r="E380" s="5" t="s">
        <v>23</v>
      </c>
      <c r="F380" s="5" t="s">
        <v>1467</v>
      </c>
      <c r="G380" s="5" t="s">
        <v>1468</v>
      </c>
      <c r="H380" s="5" t="s">
        <v>39</v>
      </c>
      <c r="I380" s="5" t="s">
        <v>27</v>
      </c>
      <c r="J380" s="5" t="s">
        <v>1469</v>
      </c>
      <c r="K380" s="5" t="s">
        <v>29</v>
      </c>
      <c r="L380" s="5">
        <v>92691</v>
      </c>
      <c r="M380" s="5" t="s">
        <v>30</v>
      </c>
      <c r="N380" s="5" t="s">
        <v>1470</v>
      </c>
      <c r="O380" s="5" t="s">
        <v>32</v>
      </c>
      <c r="P380" s="5" t="s">
        <v>44</v>
      </c>
      <c r="Q380" s="5" t="s">
        <v>1471</v>
      </c>
      <c r="R380" s="5">
        <v>330.4</v>
      </c>
      <c r="S380" s="5">
        <v>2</v>
      </c>
      <c r="T380" s="5">
        <v>0</v>
      </c>
      <c r="U380" s="5">
        <v>660.8</v>
      </c>
      <c r="V380" s="7">
        <v>85.903999999999996</v>
      </c>
    </row>
    <row r="381" spans="1:22" ht="15.5" x14ac:dyDescent="0.35">
      <c r="A381" s="8">
        <v>643</v>
      </c>
      <c r="B381" s="9" t="s">
        <v>1466</v>
      </c>
      <c r="C381" s="10">
        <v>44407</v>
      </c>
      <c r="D381" s="10">
        <v>44411</v>
      </c>
      <c r="E381" s="9" t="s">
        <v>23</v>
      </c>
      <c r="F381" s="9" t="s">
        <v>1467</v>
      </c>
      <c r="G381" s="9" t="s">
        <v>1468</v>
      </c>
      <c r="H381" s="9" t="s">
        <v>39</v>
      </c>
      <c r="I381" s="9" t="s">
        <v>27</v>
      </c>
      <c r="J381" s="9" t="s">
        <v>1469</v>
      </c>
      <c r="K381" s="9" t="s">
        <v>29</v>
      </c>
      <c r="L381" s="9">
        <v>92691</v>
      </c>
      <c r="M381" s="9" t="s">
        <v>30</v>
      </c>
      <c r="N381" s="9" t="s">
        <v>1472</v>
      </c>
      <c r="O381" s="9" t="s">
        <v>32</v>
      </c>
      <c r="P381" s="9" t="s">
        <v>33</v>
      </c>
      <c r="Q381" s="9" t="s">
        <v>1473</v>
      </c>
      <c r="R381" s="9">
        <v>26.25</v>
      </c>
      <c r="S381" s="9">
        <v>7</v>
      </c>
      <c r="T381" s="9">
        <v>0</v>
      </c>
      <c r="U381" s="9">
        <v>183.75</v>
      </c>
      <c r="V381" s="11">
        <v>12.599999999999998</v>
      </c>
    </row>
    <row r="382" spans="1:22" ht="15.5" x14ac:dyDescent="0.35">
      <c r="A382" s="4">
        <v>645</v>
      </c>
      <c r="B382" s="5" t="s">
        <v>1474</v>
      </c>
      <c r="C382" s="6">
        <v>44398</v>
      </c>
      <c r="D382" s="6">
        <v>44402</v>
      </c>
      <c r="E382" s="5" t="s">
        <v>36</v>
      </c>
      <c r="F382" s="5" t="s">
        <v>443</v>
      </c>
      <c r="G382" s="5" t="s">
        <v>444</v>
      </c>
      <c r="H382" s="5" t="s">
        <v>76</v>
      </c>
      <c r="I382" s="5" t="s">
        <v>27</v>
      </c>
      <c r="J382" s="5" t="s">
        <v>1475</v>
      </c>
      <c r="K382" s="5" t="s">
        <v>568</v>
      </c>
      <c r="L382" s="5">
        <v>7060</v>
      </c>
      <c r="M382" s="5" t="s">
        <v>125</v>
      </c>
      <c r="N382" s="5" t="s">
        <v>1476</v>
      </c>
      <c r="O382" s="5" t="s">
        <v>32</v>
      </c>
      <c r="P382" s="5" t="s">
        <v>64</v>
      </c>
      <c r="Q382" s="5" t="s">
        <v>1477</v>
      </c>
      <c r="R382" s="5">
        <v>6.48</v>
      </c>
      <c r="S382" s="5">
        <v>1</v>
      </c>
      <c r="T382" s="5">
        <v>0</v>
      </c>
      <c r="U382" s="5">
        <v>6.48</v>
      </c>
      <c r="V382" s="7">
        <v>3.1752000000000002</v>
      </c>
    </row>
    <row r="383" spans="1:22" ht="15.5" x14ac:dyDescent="0.35">
      <c r="A383" s="8">
        <v>646</v>
      </c>
      <c r="B383" s="9" t="s">
        <v>1478</v>
      </c>
      <c r="C383" s="10">
        <v>44560</v>
      </c>
      <c r="D383" s="10">
        <v>43105</v>
      </c>
      <c r="E383" s="9" t="s">
        <v>36</v>
      </c>
      <c r="F383" s="9" t="s">
        <v>1479</v>
      </c>
      <c r="G383" s="9" t="s">
        <v>1480</v>
      </c>
      <c r="H383" s="9" t="s">
        <v>76</v>
      </c>
      <c r="I383" s="9" t="s">
        <v>27</v>
      </c>
      <c r="J383" s="9" t="s">
        <v>359</v>
      </c>
      <c r="K383" s="9" t="s">
        <v>178</v>
      </c>
      <c r="L383" s="9">
        <v>47201</v>
      </c>
      <c r="M383" s="9" t="s">
        <v>79</v>
      </c>
      <c r="N383" s="9" t="s">
        <v>1481</v>
      </c>
      <c r="O383" s="9" t="s">
        <v>32</v>
      </c>
      <c r="P383" s="9" t="s">
        <v>56</v>
      </c>
      <c r="Q383" s="9" t="s">
        <v>1482</v>
      </c>
      <c r="R383" s="9">
        <v>209.3</v>
      </c>
      <c r="S383" s="9">
        <v>2</v>
      </c>
      <c r="T383" s="9">
        <v>0</v>
      </c>
      <c r="U383" s="9">
        <v>418.6</v>
      </c>
      <c r="V383" s="11">
        <v>56.510999999999996</v>
      </c>
    </row>
    <row r="384" spans="1:22" ht="15.5" x14ac:dyDescent="0.35">
      <c r="A384" s="4">
        <v>647</v>
      </c>
      <c r="B384" s="5" t="s">
        <v>1483</v>
      </c>
      <c r="C384" s="6">
        <v>43922</v>
      </c>
      <c r="D384" s="6">
        <v>43929</v>
      </c>
      <c r="E384" s="5" t="s">
        <v>36</v>
      </c>
      <c r="F384" s="5" t="s">
        <v>718</v>
      </c>
      <c r="G384" s="5" t="s">
        <v>719</v>
      </c>
      <c r="H384" s="5" t="s">
        <v>26</v>
      </c>
      <c r="I384" s="5" t="s">
        <v>27</v>
      </c>
      <c r="J384" s="5" t="s">
        <v>1484</v>
      </c>
      <c r="K384" s="5" t="s">
        <v>216</v>
      </c>
      <c r="L384" s="5">
        <v>85635</v>
      </c>
      <c r="M384" s="5" t="s">
        <v>30</v>
      </c>
      <c r="N384" s="5" t="s">
        <v>1485</v>
      </c>
      <c r="O384" s="5" t="s">
        <v>32</v>
      </c>
      <c r="P384" s="5" t="s">
        <v>189</v>
      </c>
      <c r="Q384" s="5" t="s">
        <v>398</v>
      </c>
      <c r="R384" s="5">
        <v>31.560000000000002</v>
      </c>
      <c r="S384" s="5">
        <v>5</v>
      </c>
      <c r="T384" s="5">
        <v>0.2</v>
      </c>
      <c r="U384" s="5">
        <v>126.24000000000001</v>
      </c>
      <c r="V384" s="7">
        <v>9.8624999999999972</v>
      </c>
    </row>
    <row r="385" spans="1:22" ht="15.5" x14ac:dyDescent="0.35">
      <c r="A385" s="8">
        <v>648</v>
      </c>
      <c r="B385" s="9" t="s">
        <v>1483</v>
      </c>
      <c r="C385" s="10">
        <v>43922</v>
      </c>
      <c r="D385" s="10">
        <v>43929</v>
      </c>
      <c r="E385" s="9" t="s">
        <v>36</v>
      </c>
      <c r="F385" s="9" t="s">
        <v>718</v>
      </c>
      <c r="G385" s="9" t="s">
        <v>719</v>
      </c>
      <c r="H385" s="9" t="s">
        <v>26</v>
      </c>
      <c r="I385" s="9" t="s">
        <v>27</v>
      </c>
      <c r="J385" s="9" t="s">
        <v>1484</v>
      </c>
      <c r="K385" s="9" t="s">
        <v>216</v>
      </c>
      <c r="L385" s="9">
        <v>85635</v>
      </c>
      <c r="M385" s="9" t="s">
        <v>30</v>
      </c>
      <c r="N385" s="9" t="s">
        <v>1486</v>
      </c>
      <c r="O385" s="9" t="s">
        <v>32</v>
      </c>
      <c r="P385" s="9" t="s">
        <v>56</v>
      </c>
      <c r="Q385" s="9" t="s">
        <v>1487</v>
      </c>
      <c r="R385" s="9">
        <v>30.144000000000002</v>
      </c>
      <c r="S385" s="9">
        <v>2</v>
      </c>
      <c r="T385" s="9">
        <v>0.2</v>
      </c>
      <c r="U385" s="9">
        <v>48.230400000000003</v>
      </c>
      <c r="V385" s="11">
        <v>3.0143999999999993</v>
      </c>
    </row>
    <row r="386" spans="1:22" ht="15.5" x14ac:dyDescent="0.35">
      <c r="A386" s="4">
        <v>652</v>
      </c>
      <c r="B386" s="5" t="s">
        <v>1488</v>
      </c>
      <c r="C386" s="6">
        <v>44127</v>
      </c>
      <c r="D386" s="6">
        <v>44133</v>
      </c>
      <c r="E386" s="5" t="s">
        <v>36</v>
      </c>
      <c r="F386" s="5" t="s">
        <v>1489</v>
      </c>
      <c r="G386" s="5" t="s">
        <v>1490</v>
      </c>
      <c r="H386" s="5" t="s">
        <v>76</v>
      </c>
      <c r="I386" s="5" t="s">
        <v>27</v>
      </c>
      <c r="J386" s="5" t="s">
        <v>186</v>
      </c>
      <c r="K386" s="5" t="s">
        <v>187</v>
      </c>
      <c r="L386" s="5">
        <v>10024</v>
      </c>
      <c r="M386" s="5" t="s">
        <v>125</v>
      </c>
      <c r="N386" s="5" t="s">
        <v>224</v>
      </c>
      <c r="O386" s="5" t="s">
        <v>32</v>
      </c>
      <c r="P386" s="5" t="s">
        <v>64</v>
      </c>
      <c r="Q386" s="5" t="s">
        <v>225</v>
      </c>
      <c r="R386" s="5">
        <v>379.4</v>
      </c>
      <c r="S386" s="5">
        <v>10</v>
      </c>
      <c r="T386" s="5">
        <v>0</v>
      </c>
      <c r="U386" s="5">
        <v>3794</v>
      </c>
      <c r="V386" s="7">
        <v>178.31799999999998</v>
      </c>
    </row>
    <row r="387" spans="1:22" ht="15.5" x14ac:dyDescent="0.35">
      <c r="A387" s="8">
        <v>653</v>
      </c>
      <c r="B387" s="9" t="s">
        <v>1491</v>
      </c>
      <c r="C387" s="10">
        <v>44366</v>
      </c>
      <c r="D387" s="10">
        <v>44370</v>
      </c>
      <c r="E387" s="9" t="s">
        <v>36</v>
      </c>
      <c r="F387" s="9" t="s">
        <v>1492</v>
      </c>
      <c r="G387" s="9" t="s">
        <v>1493</v>
      </c>
      <c r="H387" s="9" t="s">
        <v>26</v>
      </c>
      <c r="I387" s="9" t="s">
        <v>27</v>
      </c>
      <c r="J387" s="9" t="s">
        <v>186</v>
      </c>
      <c r="K387" s="9" t="s">
        <v>187</v>
      </c>
      <c r="L387" s="9">
        <v>10035</v>
      </c>
      <c r="M387" s="9" t="s">
        <v>125</v>
      </c>
      <c r="N387" s="9" t="s">
        <v>210</v>
      </c>
      <c r="O387" s="9" t="s">
        <v>32</v>
      </c>
      <c r="P387" s="9" t="s">
        <v>64</v>
      </c>
      <c r="Q387" s="9" t="s">
        <v>211</v>
      </c>
      <c r="R387" s="9">
        <v>97.82</v>
      </c>
      <c r="S387" s="9">
        <v>2</v>
      </c>
      <c r="T387" s="9">
        <v>0</v>
      </c>
      <c r="U387" s="9">
        <v>195.64</v>
      </c>
      <c r="V387" s="11">
        <v>45.975399999999993</v>
      </c>
    </row>
    <row r="388" spans="1:22" ht="15.5" x14ac:dyDescent="0.35">
      <c r="A388" s="4">
        <v>655</v>
      </c>
      <c r="B388" s="5" t="s">
        <v>1494</v>
      </c>
      <c r="C388" s="6">
        <v>44065</v>
      </c>
      <c r="D388" s="6">
        <v>44071</v>
      </c>
      <c r="E388" s="5" t="s">
        <v>36</v>
      </c>
      <c r="F388" s="5" t="s">
        <v>1495</v>
      </c>
      <c r="G388" s="5" t="s">
        <v>1496</v>
      </c>
      <c r="H388" s="5" t="s">
        <v>39</v>
      </c>
      <c r="I388" s="5" t="s">
        <v>27</v>
      </c>
      <c r="J388" s="5" t="s">
        <v>359</v>
      </c>
      <c r="K388" s="5" t="s">
        <v>360</v>
      </c>
      <c r="L388" s="5">
        <v>43229</v>
      </c>
      <c r="M388" s="5" t="s">
        <v>125</v>
      </c>
      <c r="N388" s="5" t="s">
        <v>1497</v>
      </c>
      <c r="O388" s="5" t="s">
        <v>32</v>
      </c>
      <c r="P388" s="5" t="s">
        <v>56</v>
      </c>
      <c r="Q388" s="5" t="s">
        <v>1498</v>
      </c>
      <c r="R388" s="5">
        <v>113.55200000000001</v>
      </c>
      <c r="S388" s="5">
        <v>2</v>
      </c>
      <c r="T388" s="5">
        <v>0.2</v>
      </c>
      <c r="U388" s="5">
        <v>181.6832</v>
      </c>
      <c r="V388" s="7">
        <v>8.5163999999999938</v>
      </c>
    </row>
    <row r="389" spans="1:22" ht="15.5" x14ac:dyDescent="0.35">
      <c r="A389" s="8">
        <v>656</v>
      </c>
      <c r="B389" s="9" t="s">
        <v>1494</v>
      </c>
      <c r="C389" s="10">
        <v>44065</v>
      </c>
      <c r="D389" s="10">
        <v>44071</v>
      </c>
      <c r="E389" s="9" t="s">
        <v>36</v>
      </c>
      <c r="F389" s="9" t="s">
        <v>1495</v>
      </c>
      <c r="G389" s="9" t="s">
        <v>1496</v>
      </c>
      <c r="H389" s="9" t="s">
        <v>39</v>
      </c>
      <c r="I389" s="9" t="s">
        <v>27</v>
      </c>
      <c r="J389" s="9" t="s">
        <v>359</v>
      </c>
      <c r="K389" s="9" t="s">
        <v>360</v>
      </c>
      <c r="L389" s="9">
        <v>43229</v>
      </c>
      <c r="M389" s="9" t="s">
        <v>125</v>
      </c>
      <c r="N389" s="9" t="s">
        <v>1499</v>
      </c>
      <c r="O389" s="9" t="s">
        <v>32</v>
      </c>
      <c r="P389" s="9" t="s">
        <v>53</v>
      </c>
      <c r="Q389" s="9" t="s">
        <v>1500</v>
      </c>
      <c r="R389" s="9">
        <v>3.3180000000000005</v>
      </c>
      <c r="S389" s="9">
        <v>2</v>
      </c>
      <c r="T389" s="9">
        <v>0.7</v>
      </c>
      <c r="U389" s="9">
        <v>1.990800000000001</v>
      </c>
      <c r="V389" s="11">
        <v>-2.6543999999999999</v>
      </c>
    </row>
    <row r="390" spans="1:22" ht="15.5" x14ac:dyDescent="0.35">
      <c r="A390" s="4">
        <v>657</v>
      </c>
      <c r="B390" s="5" t="s">
        <v>1494</v>
      </c>
      <c r="C390" s="6">
        <v>44065</v>
      </c>
      <c r="D390" s="6">
        <v>44071</v>
      </c>
      <c r="E390" s="5" t="s">
        <v>36</v>
      </c>
      <c r="F390" s="5" t="s">
        <v>1495</v>
      </c>
      <c r="G390" s="5" t="s">
        <v>1496</v>
      </c>
      <c r="H390" s="5" t="s">
        <v>39</v>
      </c>
      <c r="I390" s="5" t="s">
        <v>27</v>
      </c>
      <c r="J390" s="5" t="s">
        <v>359</v>
      </c>
      <c r="K390" s="5" t="s">
        <v>360</v>
      </c>
      <c r="L390" s="5">
        <v>43229</v>
      </c>
      <c r="M390" s="5" t="s">
        <v>125</v>
      </c>
      <c r="N390" s="5" t="s">
        <v>1501</v>
      </c>
      <c r="O390" s="5" t="s">
        <v>32</v>
      </c>
      <c r="P390" s="5" t="s">
        <v>129</v>
      </c>
      <c r="Q390" s="5" t="s">
        <v>1502</v>
      </c>
      <c r="R390" s="5">
        <v>134.28800000000001</v>
      </c>
      <c r="S390" s="5">
        <v>2</v>
      </c>
      <c r="T390" s="5">
        <v>0.2</v>
      </c>
      <c r="U390" s="5">
        <v>214.86080000000001</v>
      </c>
      <c r="V390" s="7">
        <v>45.322199999999995</v>
      </c>
    </row>
    <row r="391" spans="1:22" ht="15.5" x14ac:dyDescent="0.35">
      <c r="A391" s="8">
        <v>659</v>
      </c>
      <c r="B391" s="9" t="s">
        <v>1503</v>
      </c>
      <c r="C391" s="10">
        <v>44093</v>
      </c>
      <c r="D391" s="10">
        <v>44093</v>
      </c>
      <c r="E391" s="9" t="s">
        <v>908</v>
      </c>
      <c r="F391" s="9" t="s">
        <v>1504</v>
      </c>
      <c r="G391" s="9" t="s">
        <v>1505</v>
      </c>
      <c r="H391" s="9" t="s">
        <v>76</v>
      </c>
      <c r="I391" s="9" t="s">
        <v>27</v>
      </c>
      <c r="J391" s="9" t="s">
        <v>337</v>
      </c>
      <c r="K391" s="9" t="s">
        <v>275</v>
      </c>
      <c r="L391" s="9">
        <v>60505</v>
      </c>
      <c r="M391" s="9" t="s">
        <v>79</v>
      </c>
      <c r="N391" s="9" t="s">
        <v>229</v>
      </c>
      <c r="O391" s="9" t="s">
        <v>32</v>
      </c>
      <c r="P391" s="9" t="s">
        <v>53</v>
      </c>
      <c r="Q391" s="9" t="s">
        <v>230</v>
      </c>
      <c r="R391" s="9">
        <v>2.3079999999999994</v>
      </c>
      <c r="S391" s="9">
        <v>2</v>
      </c>
      <c r="T391" s="9">
        <v>0.8</v>
      </c>
      <c r="U391" s="9">
        <v>0.92319999999999958</v>
      </c>
      <c r="V391" s="11">
        <v>-3.4619999999999997</v>
      </c>
    </row>
    <row r="392" spans="1:22" ht="15.5" x14ac:dyDescent="0.35">
      <c r="A392" s="4">
        <v>660</v>
      </c>
      <c r="B392" s="5" t="s">
        <v>1506</v>
      </c>
      <c r="C392" s="6">
        <v>43701</v>
      </c>
      <c r="D392" s="6">
        <v>43705</v>
      </c>
      <c r="E392" s="5" t="s">
        <v>36</v>
      </c>
      <c r="F392" s="5" t="s">
        <v>557</v>
      </c>
      <c r="G392" s="5" t="s">
        <v>558</v>
      </c>
      <c r="H392" s="5" t="s">
        <v>39</v>
      </c>
      <c r="I392" s="5" t="s">
        <v>27</v>
      </c>
      <c r="J392" s="5" t="s">
        <v>793</v>
      </c>
      <c r="K392" s="5" t="s">
        <v>78</v>
      </c>
      <c r="L392" s="5">
        <v>76017</v>
      </c>
      <c r="M392" s="5" t="s">
        <v>79</v>
      </c>
      <c r="N392" s="5" t="s">
        <v>1398</v>
      </c>
      <c r="O392" s="5" t="s">
        <v>32</v>
      </c>
      <c r="P392" s="5" t="s">
        <v>44</v>
      </c>
      <c r="Q392" s="5" t="s">
        <v>1399</v>
      </c>
      <c r="R392" s="5">
        <v>999.43200000000002</v>
      </c>
      <c r="S392" s="5">
        <v>7</v>
      </c>
      <c r="T392" s="5">
        <v>0.2</v>
      </c>
      <c r="U392" s="5">
        <v>5596.8191999999999</v>
      </c>
      <c r="V392" s="7">
        <v>124.92899999999986</v>
      </c>
    </row>
    <row r="393" spans="1:22" ht="15.5" x14ac:dyDescent="0.35">
      <c r="A393" s="8">
        <v>661</v>
      </c>
      <c r="B393" s="9" t="s">
        <v>1506</v>
      </c>
      <c r="C393" s="10">
        <v>43701</v>
      </c>
      <c r="D393" s="10">
        <v>43705</v>
      </c>
      <c r="E393" s="9" t="s">
        <v>36</v>
      </c>
      <c r="F393" s="9" t="s">
        <v>557</v>
      </c>
      <c r="G393" s="9" t="s">
        <v>558</v>
      </c>
      <c r="H393" s="9" t="s">
        <v>39</v>
      </c>
      <c r="I393" s="9" t="s">
        <v>27</v>
      </c>
      <c r="J393" s="9" t="s">
        <v>793</v>
      </c>
      <c r="K393" s="9" t="s">
        <v>78</v>
      </c>
      <c r="L393" s="9">
        <v>76017</v>
      </c>
      <c r="M393" s="9" t="s">
        <v>79</v>
      </c>
      <c r="N393" s="9" t="s">
        <v>1507</v>
      </c>
      <c r="O393" s="9" t="s">
        <v>32</v>
      </c>
      <c r="P393" s="9" t="s">
        <v>44</v>
      </c>
      <c r="Q393" s="9" t="s">
        <v>1508</v>
      </c>
      <c r="R393" s="9">
        <v>724.08</v>
      </c>
      <c r="S393" s="9">
        <v>14</v>
      </c>
      <c r="T393" s="9">
        <v>0.2</v>
      </c>
      <c r="U393" s="9">
        <v>8109.6960000000008</v>
      </c>
      <c r="V393" s="11">
        <v>-135.7650000000001</v>
      </c>
    </row>
    <row r="394" spans="1:22" ht="15.5" x14ac:dyDescent="0.35">
      <c r="A394" s="4">
        <v>663</v>
      </c>
      <c r="B394" s="5" t="s">
        <v>1506</v>
      </c>
      <c r="C394" s="6">
        <v>43701</v>
      </c>
      <c r="D394" s="6">
        <v>43705</v>
      </c>
      <c r="E394" s="5" t="s">
        <v>36</v>
      </c>
      <c r="F394" s="5" t="s">
        <v>557</v>
      </c>
      <c r="G394" s="5" t="s">
        <v>558</v>
      </c>
      <c r="H394" s="5" t="s">
        <v>39</v>
      </c>
      <c r="I394" s="5" t="s">
        <v>27</v>
      </c>
      <c r="J394" s="5" t="s">
        <v>793</v>
      </c>
      <c r="K394" s="5" t="s">
        <v>78</v>
      </c>
      <c r="L394" s="5">
        <v>76017</v>
      </c>
      <c r="M394" s="5" t="s">
        <v>79</v>
      </c>
      <c r="N394" s="5" t="s">
        <v>354</v>
      </c>
      <c r="O394" s="5" t="s">
        <v>32</v>
      </c>
      <c r="P394" s="5" t="s">
        <v>53</v>
      </c>
      <c r="Q394" s="5" t="s">
        <v>355</v>
      </c>
      <c r="R394" s="5">
        <v>2.7239999999999993</v>
      </c>
      <c r="S394" s="5">
        <v>3</v>
      </c>
      <c r="T394" s="5">
        <v>0.8</v>
      </c>
      <c r="U394" s="5">
        <v>1.6343999999999994</v>
      </c>
      <c r="V394" s="7">
        <v>-4.2222000000000008</v>
      </c>
    </row>
    <row r="395" spans="1:22" ht="15.5" x14ac:dyDescent="0.35">
      <c r="A395" s="8">
        <v>664</v>
      </c>
      <c r="B395" s="9" t="s">
        <v>1509</v>
      </c>
      <c r="C395" s="10">
        <v>43916</v>
      </c>
      <c r="D395" s="10">
        <v>43920</v>
      </c>
      <c r="E395" s="9" t="s">
        <v>36</v>
      </c>
      <c r="F395" s="9" t="s">
        <v>1510</v>
      </c>
      <c r="G395" s="9" t="s">
        <v>1511</v>
      </c>
      <c r="H395" s="9" t="s">
        <v>26</v>
      </c>
      <c r="I395" s="9" t="s">
        <v>27</v>
      </c>
      <c r="J395" s="9" t="s">
        <v>186</v>
      </c>
      <c r="K395" s="9" t="s">
        <v>187</v>
      </c>
      <c r="L395" s="9">
        <v>10011</v>
      </c>
      <c r="M395" s="9" t="s">
        <v>125</v>
      </c>
      <c r="N395" s="9" t="s">
        <v>604</v>
      </c>
      <c r="O395" s="9" t="s">
        <v>32</v>
      </c>
      <c r="P395" s="9" t="s">
        <v>44</v>
      </c>
      <c r="Q395" s="9" t="s">
        <v>605</v>
      </c>
      <c r="R395" s="9">
        <v>459.95</v>
      </c>
      <c r="S395" s="9">
        <v>5</v>
      </c>
      <c r="T395" s="9">
        <v>0</v>
      </c>
      <c r="U395" s="9">
        <v>2299.75</v>
      </c>
      <c r="V395" s="11">
        <v>18.397999999999968</v>
      </c>
    </row>
    <row r="396" spans="1:22" ht="15.5" x14ac:dyDescent="0.35">
      <c r="A396" s="4">
        <v>665</v>
      </c>
      <c r="B396" s="5" t="s">
        <v>1512</v>
      </c>
      <c r="C396" s="6">
        <v>44139</v>
      </c>
      <c r="D396" s="6">
        <v>44139</v>
      </c>
      <c r="E396" s="5" t="s">
        <v>908</v>
      </c>
      <c r="F396" s="5" t="s">
        <v>1513</v>
      </c>
      <c r="G396" s="5" t="s">
        <v>1514</v>
      </c>
      <c r="H396" s="5" t="s">
        <v>39</v>
      </c>
      <c r="I396" s="5" t="s">
        <v>27</v>
      </c>
      <c r="J396" s="5" t="s">
        <v>1515</v>
      </c>
      <c r="K396" s="5" t="s">
        <v>1033</v>
      </c>
      <c r="L396" s="5">
        <v>40214</v>
      </c>
      <c r="M396" s="5" t="s">
        <v>42</v>
      </c>
      <c r="N396" s="5" t="s">
        <v>361</v>
      </c>
      <c r="O396" s="5" t="s">
        <v>32</v>
      </c>
      <c r="P396" s="5" t="s">
        <v>189</v>
      </c>
      <c r="Q396" s="5" t="s">
        <v>362</v>
      </c>
      <c r="R396" s="5">
        <v>10.74</v>
      </c>
      <c r="S396" s="5">
        <v>3</v>
      </c>
      <c r="T396" s="5">
        <v>0</v>
      </c>
      <c r="U396" s="5">
        <v>32.22</v>
      </c>
      <c r="V396" s="7">
        <v>5.2625999999999999</v>
      </c>
    </row>
    <row r="397" spans="1:22" ht="15.5" x14ac:dyDescent="0.35">
      <c r="A397" s="8">
        <v>666</v>
      </c>
      <c r="B397" s="9" t="s">
        <v>1516</v>
      </c>
      <c r="C397" s="10">
        <v>44355</v>
      </c>
      <c r="D397" s="10">
        <v>44357</v>
      </c>
      <c r="E397" s="9" t="s">
        <v>23</v>
      </c>
      <c r="F397" s="9" t="s">
        <v>1517</v>
      </c>
      <c r="G397" s="9" t="s">
        <v>1518</v>
      </c>
      <c r="H397" s="9" t="s">
        <v>26</v>
      </c>
      <c r="I397" s="9" t="s">
        <v>27</v>
      </c>
      <c r="J397" s="9" t="s">
        <v>593</v>
      </c>
      <c r="K397" s="9" t="s">
        <v>78</v>
      </c>
      <c r="L397" s="9">
        <v>75081</v>
      </c>
      <c r="M397" s="9" t="s">
        <v>79</v>
      </c>
      <c r="N397" s="9" t="s">
        <v>1519</v>
      </c>
      <c r="O397" s="9" t="s">
        <v>32</v>
      </c>
      <c r="P397" s="9" t="s">
        <v>414</v>
      </c>
      <c r="Q397" s="9" t="s">
        <v>1520</v>
      </c>
      <c r="R397" s="9">
        <v>23.76</v>
      </c>
      <c r="S397" s="9">
        <v>3</v>
      </c>
      <c r="T397" s="9">
        <v>0.2</v>
      </c>
      <c r="U397" s="9">
        <v>57.024000000000001</v>
      </c>
      <c r="V397" s="11">
        <v>2.0789999999999997</v>
      </c>
    </row>
    <row r="398" spans="1:22" ht="15.5" x14ac:dyDescent="0.35">
      <c r="A398" s="4">
        <v>667</v>
      </c>
      <c r="B398" s="5" t="s">
        <v>1516</v>
      </c>
      <c r="C398" s="6">
        <v>44355</v>
      </c>
      <c r="D398" s="6">
        <v>44357</v>
      </c>
      <c r="E398" s="5" t="s">
        <v>23</v>
      </c>
      <c r="F398" s="5" t="s">
        <v>1517</v>
      </c>
      <c r="G398" s="5" t="s">
        <v>1518</v>
      </c>
      <c r="H398" s="5" t="s">
        <v>26</v>
      </c>
      <c r="I398" s="5" t="s">
        <v>27</v>
      </c>
      <c r="J398" s="5" t="s">
        <v>593</v>
      </c>
      <c r="K398" s="5" t="s">
        <v>78</v>
      </c>
      <c r="L398" s="5">
        <v>75081</v>
      </c>
      <c r="M398" s="5" t="s">
        <v>79</v>
      </c>
      <c r="N398" s="5" t="s">
        <v>740</v>
      </c>
      <c r="O398" s="5" t="s">
        <v>32</v>
      </c>
      <c r="P398" s="5" t="s">
        <v>64</v>
      </c>
      <c r="Q398" s="5" t="s">
        <v>142</v>
      </c>
      <c r="R398" s="5">
        <v>85.055999999999997</v>
      </c>
      <c r="S398" s="5">
        <v>3</v>
      </c>
      <c r="T398" s="5">
        <v>0.2</v>
      </c>
      <c r="U398" s="5">
        <v>204.1344</v>
      </c>
      <c r="V398" s="7">
        <v>28.706399999999991</v>
      </c>
    </row>
    <row r="399" spans="1:22" ht="15.5" x14ac:dyDescent="0.35">
      <c r="A399" s="8">
        <v>672</v>
      </c>
      <c r="B399" s="9" t="s">
        <v>1521</v>
      </c>
      <c r="C399" s="10">
        <v>44356</v>
      </c>
      <c r="D399" s="10">
        <v>44360</v>
      </c>
      <c r="E399" s="9" t="s">
        <v>36</v>
      </c>
      <c r="F399" s="9" t="s">
        <v>1522</v>
      </c>
      <c r="G399" s="9" t="s">
        <v>1523</v>
      </c>
      <c r="H399" s="9" t="s">
        <v>76</v>
      </c>
      <c r="I399" s="9" t="s">
        <v>27</v>
      </c>
      <c r="J399" s="9" t="s">
        <v>274</v>
      </c>
      <c r="K399" s="9" t="s">
        <v>275</v>
      </c>
      <c r="L399" s="9">
        <v>60653</v>
      </c>
      <c r="M399" s="9" t="s">
        <v>79</v>
      </c>
      <c r="N399" s="9" t="s">
        <v>395</v>
      </c>
      <c r="O399" s="9" t="s">
        <v>32</v>
      </c>
      <c r="P399" s="9" t="s">
        <v>64</v>
      </c>
      <c r="Q399" s="9" t="s">
        <v>1524</v>
      </c>
      <c r="R399" s="9">
        <v>36.351999999999997</v>
      </c>
      <c r="S399" s="9">
        <v>8</v>
      </c>
      <c r="T399" s="9">
        <v>0.2</v>
      </c>
      <c r="U399" s="9">
        <v>232.65279999999998</v>
      </c>
      <c r="V399" s="11">
        <v>11.359999999999998</v>
      </c>
    </row>
    <row r="400" spans="1:22" ht="15.5" x14ac:dyDescent="0.35">
      <c r="A400" s="4">
        <v>673</v>
      </c>
      <c r="B400" s="5" t="s">
        <v>1525</v>
      </c>
      <c r="C400" s="6">
        <v>44362</v>
      </c>
      <c r="D400" s="6">
        <v>44369</v>
      </c>
      <c r="E400" s="5" t="s">
        <v>36</v>
      </c>
      <c r="F400" s="5" t="s">
        <v>864</v>
      </c>
      <c r="G400" s="5" t="s">
        <v>865</v>
      </c>
      <c r="H400" s="5" t="s">
        <v>39</v>
      </c>
      <c r="I400" s="5" t="s">
        <v>27</v>
      </c>
      <c r="J400" s="5" t="s">
        <v>935</v>
      </c>
      <c r="K400" s="5" t="s">
        <v>275</v>
      </c>
      <c r="L400" s="5">
        <v>62301</v>
      </c>
      <c r="M400" s="5" t="s">
        <v>79</v>
      </c>
      <c r="N400" s="5" t="s">
        <v>1526</v>
      </c>
      <c r="O400" s="5" t="s">
        <v>32</v>
      </c>
      <c r="P400" s="5" t="s">
        <v>50</v>
      </c>
      <c r="Q400" s="5" t="s">
        <v>1527</v>
      </c>
      <c r="R400" s="5">
        <v>19.559999999999999</v>
      </c>
      <c r="S400" s="5">
        <v>5</v>
      </c>
      <c r="T400" s="5">
        <v>0.2</v>
      </c>
      <c r="U400" s="5">
        <v>78.239999999999995</v>
      </c>
      <c r="V400" s="7">
        <v>1.7115</v>
      </c>
    </row>
    <row r="401" spans="1:22" ht="15.5" x14ac:dyDescent="0.35">
      <c r="A401" s="8">
        <v>674</v>
      </c>
      <c r="B401" s="9" t="s">
        <v>1528</v>
      </c>
      <c r="C401" s="10">
        <v>44535</v>
      </c>
      <c r="D401" s="10">
        <v>44538</v>
      </c>
      <c r="E401" s="9" t="s">
        <v>160</v>
      </c>
      <c r="F401" s="9" t="s">
        <v>1529</v>
      </c>
      <c r="G401" s="9" t="s">
        <v>1530</v>
      </c>
      <c r="H401" s="9" t="s">
        <v>39</v>
      </c>
      <c r="I401" s="9" t="s">
        <v>27</v>
      </c>
      <c r="J401" s="9" t="s">
        <v>359</v>
      </c>
      <c r="K401" s="9" t="s">
        <v>178</v>
      </c>
      <c r="L401" s="9">
        <v>47201</v>
      </c>
      <c r="M401" s="9" t="s">
        <v>79</v>
      </c>
      <c r="N401" s="9" t="s">
        <v>1531</v>
      </c>
      <c r="O401" s="9" t="s">
        <v>32</v>
      </c>
      <c r="P401" s="9" t="s">
        <v>56</v>
      </c>
      <c r="Q401" s="9" t="s">
        <v>1532</v>
      </c>
      <c r="R401" s="9">
        <v>61.44</v>
      </c>
      <c r="S401" s="9">
        <v>3</v>
      </c>
      <c r="T401" s="9">
        <v>0</v>
      </c>
      <c r="U401" s="9">
        <v>184.32</v>
      </c>
      <c r="V401" s="11">
        <v>16.588799999999999</v>
      </c>
    </row>
    <row r="402" spans="1:22" ht="15.5" x14ac:dyDescent="0.35">
      <c r="A402" s="4">
        <v>675</v>
      </c>
      <c r="B402" s="5" t="s">
        <v>1528</v>
      </c>
      <c r="C402" s="6">
        <v>44535</v>
      </c>
      <c r="D402" s="6">
        <v>44538</v>
      </c>
      <c r="E402" s="5" t="s">
        <v>160</v>
      </c>
      <c r="F402" s="5" t="s">
        <v>1529</v>
      </c>
      <c r="G402" s="5" t="s">
        <v>1530</v>
      </c>
      <c r="H402" s="5" t="s">
        <v>39</v>
      </c>
      <c r="I402" s="5" t="s">
        <v>27</v>
      </c>
      <c r="J402" s="5" t="s">
        <v>359</v>
      </c>
      <c r="K402" s="5" t="s">
        <v>178</v>
      </c>
      <c r="L402" s="5">
        <v>47201</v>
      </c>
      <c r="M402" s="5" t="s">
        <v>79</v>
      </c>
      <c r="N402" s="5" t="s">
        <v>1533</v>
      </c>
      <c r="O402" s="5" t="s">
        <v>32</v>
      </c>
      <c r="P402" s="5" t="s">
        <v>64</v>
      </c>
      <c r="Q402" s="5" t="s">
        <v>1534</v>
      </c>
      <c r="R402" s="5">
        <v>38.9</v>
      </c>
      <c r="S402" s="5">
        <v>5</v>
      </c>
      <c r="T402" s="5">
        <v>0</v>
      </c>
      <c r="U402" s="5">
        <v>194.5</v>
      </c>
      <c r="V402" s="7">
        <v>17.504999999999995</v>
      </c>
    </row>
    <row r="403" spans="1:22" ht="15.5" x14ac:dyDescent="0.35">
      <c r="A403" s="8">
        <v>677</v>
      </c>
      <c r="B403" s="9" t="s">
        <v>1535</v>
      </c>
      <c r="C403" s="10">
        <v>44273</v>
      </c>
      <c r="D403" s="10">
        <v>44278</v>
      </c>
      <c r="E403" s="9" t="s">
        <v>36</v>
      </c>
      <c r="F403" s="9" t="s">
        <v>1536</v>
      </c>
      <c r="G403" s="9" t="s">
        <v>1537</v>
      </c>
      <c r="H403" s="9" t="s">
        <v>39</v>
      </c>
      <c r="I403" s="9" t="s">
        <v>27</v>
      </c>
      <c r="J403" s="9" t="s">
        <v>1538</v>
      </c>
      <c r="K403" s="9" t="s">
        <v>78</v>
      </c>
      <c r="L403" s="9">
        <v>75701</v>
      </c>
      <c r="M403" s="9" t="s">
        <v>79</v>
      </c>
      <c r="N403" s="9" t="s">
        <v>1539</v>
      </c>
      <c r="O403" s="9" t="s">
        <v>32</v>
      </c>
      <c r="P403" s="9" t="s">
        <v>56</v>
      </c>
      <c r="Q403" s="9" t="s">
        <v>1540</v>
      </c>
      <c r="R403" s="9">
        <v>2.6879999999999997</v>
      </c>
      <c r="S403" s="9">
        <v>3</v>
      </c>
      <c r="T403" s="9">
        <v>0.8</v>
      </c>
      <c r="U403" s="9">
        <v>1.6128</v>
      </c>
      <c r="V403" s="11">
        <v>-7.3920000000000021</v>
      </c>
    </row>
    <row r="404" spans="1:22" ht="15.5" x14ac:dyDescent="0.35">
      <c r="A404" s="4">
        <v>680</v>
      </c>
      <c r="B404" s="5" t="s">
        <v>1535</v>
      </c>
      <c r="C404" s="6">
        <v>44273</v>
      </c>
      <c r="D404" s="6">
        <v>44278</v>
      </c>
      <c r="E404" s="5" t="s">
        <v>36</v>
      </c>
      <c r="F404" s="5" t="s">
        <v>1536</v>
      </c>
      <c r="G404" s="5" t="s">
        <v>1537</v>
      </c>
      <c r="H404" s="5" t="s">
        <v>39</v>
      </c>
      <c r="I404" s="5" t="s">
        <v>27</v>
      </c>
      <c r="J404" s="5" t="s">
        <v>1538</v>
      </c>
      <c r="K404" s="5" t="s">
        <v>78</v>
      </c>
      <c r="L404" s="5">
        <v>75701</v>
      </c>
      <c r="M404" s="5" t="s">
        <v>79</v>
      </c>
      <c r="N404" s="5" t="s">
        <v>1541</v>
      </c>
      <c r="O404" s="5" t="s">
        <v>32</v>
      </c>
      <c r="P404" s="5" t="s">
        <v>53</v>
      </c>
      <c r="Q404" s="5" t="s">
        <v>1542</v>
      </c>
      <c r="R404" s="5">
        <v>182.99399999999997</v>
      </c>
      <c r="S404" s="5">
        <v>3</v>
      </c>
      <c r="T404" s="5">
        <v>0.8</v>
      </c>
      <c r="U404" s="5">
        <v>109.79639999999995</v>
      </c>
      <c r="V404" s="7">
        <v>-320.23950000000013</v>
      </c>
    </row>
    <row r="405" spans="1:22" ht="15.5" x14ac:dyDescent="0.35">
      <c r="A405" s="8">
        <v>681</v>
      </c>
      <c r="B405" s="9" t="s">
        <v>1543</v>
      </c>
      <c r="C405" s="10">
        <v>44154</v>
      </c>
      <c r="D405" s="10">
        <v>44159</v>
      </c>
      <c r="E405" s="9" t="s">
        <v>36</v>
      </c>
      <c r="F405" s="9" t="s">
        <v>1544</v>
      </c>
      <c r="G405" s="9" t="s">
        <v>1545</v>
      </c>
      <c r="H405" s="9" t="s">
        <v>39</v>
      </c>
      <c r="I405" s="9" t="s">
        <v>27</v>
      </c>
      <c r="J405" s="9" t="s">
        <v>186</v>
      </c>
      <c r="K405" s="9" t="s">
        <v>187</v>
      </c>
      <c r="L405" s="9">
        <v>10024</v>
      </c>
      <c r="M405" s="9" t="s">
        <v>125</v>
      </c>
      <c r="N405" s="9" t="s">
        <v>1546</v>
      </c>
      <c r="O405" s="9" t="s">
        <v>32</v>
      </c>
      <c r="P405" s="9" t="s">
        <v>53</v>
      </c>
      <c r="Q405" s="9" t="s">
        <v>1547</v>
      </c>
      <c r="R405" s="9">
        <v>14.352000000000002</v>
      </c>
      <c r="S405" s="9">
        <v>3</v>
      </c>
      <c r="T405" s="9">
        <v>0.2</v>
      </c>
      <c r="U405" s="9">
        <v>34.444800000000001</v>
      </c>
      <c r="V405" s="11">
        <v>4.6643999999999988</v>
      </c>
    </row>
    <row r="406" spans="1:22" ht="15.5" x14ac:dyDescent="0.35">
      <c r="A406" s="4">
        <v>682</v>
      </c>
      <c r="B406" s="5" t="s">
        <v>1543</v>
      </c>
      <c r="C406" s="6">
        <v>44154</v>
      </c>
      <c r="D406" s="6">
        <v>44159</v>
      </c>
      <c r="E406" s="5" t="s">
        <v>36</v>
      </c>
      <c r="F406" s="5" t="s">
        <v>1544</v>
      </c>
      <c r="G406" s="5" t="s">
        <v>1545</v>
      </c>
      <c r="H406" s="5" t="s">
        <v>39</v>
      </c>
      <c r="I406" s="5" t="s">
        <v>27</v>
      </c>
      <c r="J406" s="5" t="s">
        <v>186</v>
      </c>
      <c r="K406" s="5" t="s">
        <v>187</v>
      </c>
      <c r="L406" s="5">
        <v>10024</v>
      </c>
      <c r="M406" s="5" t="s">
        <v>125</v>
      </c>
      <c r="N406" s="5" t="s">
        <v>1548</v>
      </c>
      <c r="O406" s="5" t="s">
        <v>32</v>
      </c>
      <c r="P406" s="5" t="s">
        <v>44</v>
      </c>
      <c r="Q406" s="5" t="s">
        <v>1549</v>
      </c>
      <c r="R406" s="5">
        <v>64.959999999999994</v>
      </c>
      <c r="S406" s="5">
        <v>2</v>
      </c>
      <c r="T406" s="5">
        <v>0</v>
      </c>
      <c r="U406" s="5">
        <v>129.91999999999999</v>
      </c>
      <c r="V406" s="7">
        <v>2.598399999999998</v>
      </c>
    </row>
    <row r="407" spans="1:22" ht="15.5" x14ac:dyDescent="0.35">
      <c r="A407" s="8">
        <v>683</v>
      </c>
      <c r="B407" s="9" t="s">
        <v>1543</v>
      </c>
      <c r="C407" s="10">
        <v>44154</v>
      </c>
      <c r="D407" s="10">
        <v>44159</v>
      </c>
      <c r="E407" s="9" t="s">
        <v>36</v>
      </c>
      <c r="F407" s="9" t="s">
        <v>1544</v>
      </c>
      <c r="G407" s="9" t="s">
        <v>1545</v>
      </c>
      <c r="H407" s="9" t="s">
        <v>39</v>
      </c>
      <c r="I407" s="9" t="s">
        <v>27</v>
      </c>
      <c r="J407" s="9" t="s">
        <v>186</v>
      </c>
      <c r="K407" s="9" t="s">
        <v>187</v>
      </c>
      <c r="L407" s="9">
        <v>10024</v>
      </c>
      <c r="M407" s="9" t="s">
        <v>125</v>
      </c>
      <c r="N407" s="9" t="s">
        <v>1225</v>
      </c>
      <c r="O407" s="9" t="s">
        <v>32</v>
      </c>
      <c r="P407" s="9" t="s">
        <v>44</v>
      </c>
      <c r="Q407" s="9" t="s">
        <v>1226</v>
      </c>
      <c r="R407" s="9">
        <v>68.599999999999994</v>
      </c>
      <c r="S407" s="9">
        <v>4</v>
      </c>
      <c r="T407" s="9">
        <v>0</v>
      </c>
      <c r="U407" s="9">
        <v>274.39999999999998</v>
      </c>
      <c r="V407" s="11">
        <v>18.521999999999998</v>
      </c>
    </row>
    <row r="408" spans="1:22" ht="15.5" x14ac:dyDescent="0.35">
      <c r="A408" s="4">
        <v>685</v>
      </c>
      <c r="B408" s="5" t="s">
        <v>1550</v>
      </c>
      <c r="C408" s="6">
        <v>44504</v>
      </c>
      <c r="D408" s="6">
        <v>44504</v>
      </c>
      <c r="E408" s="5" t="s">
        <v>908</v>
      </c>
      <c r="F408" s="5" t="s">
        <v>1551</v>
      </c>
      <c r="G408" s="5" t="s">
        <v>1552</v>
      </c>
      <c r="H408" s="5" t="s">
        <v>26</v>
      </c>
      <c r="I408" s="5" t="s">
        <v>27</v>
      </c>
      <c r="J408" s="5" t="s">
        <v>1553</v>
      </c>
      <c r="K408" s="5" t="s">
        <v>62</v>
      </c>
      <c r="L408" s="5">
        <v>27217</v>
      </c>
      <c r="M408" s="5" t="s">
        <v>42</v>
      </c>
      <c r="N408" s="5" t="s">
        <v>1481</v>
      </c>
      <c r="O408" s="5" t="s">
        <v>32</v>
      </c>
      <c r="P408" s="5" t="s">
        <v>56</v>
      </c>
      <c r="Q408" s="5" t="s">
        <v>1482</v>
      </c>
      <c r="R408" s="5">
        <v>167.44000000000003</v>
      </c>
      <c r="S408" s="5">
        <v>2</v>
      </c>
      <c r="T408" s="5">
        <v>0.2</v>
      </c>
      <c r="U408" s="5">
        <v>267.90400000000005</v>
      </c>
      <c r="V408" s="7">
        <v>14.650999999999989</v>
      </c>
    </row>
    <row r="409" spans="1:22" ht="15.5" x14ac:dyDescent="0.35">
      <c r="A409" s="8">
        <v>687</v>
      </c>
      <c r="B409" s="9" t="s">
        <v>1554</v>
      </c>
      <c r="C409" s="10">
        <v>43286</v>
      </c>
      <c r="D409" s="10">
        <v>43289</v>
      </c>
      <c r="E409" s="9" t="s">
        <v>160</v>
      </c>
      <c r="F409" s="9" t="s">
        <v>1555</v>
      </c>
      <c r="G409" s="9" t="s">
        <v>1556</v>
      </c>
      <c r="H409" s="9" t="s">
        <v>39</v>
      </c>
      <c r="I409" s="9" t="s">
        <v>27</v>
      </c>
      <c r="J409" s="9" t="s">
        <v>232</v>
      </c>
      <c r="K409" s="9" t="s">
        <v>1557</v>
      </c>
      <c r="L409" s="9">
        <v>39212</v>
      </c>
      <c r="M409" s="9" t="s">
        <v>42</v>
      </c>
      <c r="N409" s="9" t="s">
        <v>1558</v>
      </c>
      <c r="O409" s="9" t="s">
        <v>32</v>
      </c>
      <c r="P409" s="9" t="s">
        <v>33</v>
      </c>
      <c r="Q409" s="9" t="s">
        <v>1559</v>
      </c>
      <c r="R409" s="9">
        <v>14.62</v>
      </c>
      <c r="S409" s="9">
        <v>2</v>
      </c>
      <c r="T409" s="9">
        <v>0</v>
      </c>
      <c r="U409" s="9">
        <v>29.24</v>
      </c>
      <c r="V409" s="11">
        <v>6.8713999999999995</v>
      </c>
    </row>
    <row r="410" spans="1:22" ht="15.5" x14ac:dyDescent="0.35">
      <c r="A410" s="4">
        <v>688</v>
      </c>
      <c r="B410" s="5" t="s">
        <v>1554</v>
      </c>
      <c r="C410" s="6">
        <v>43286</v>
      </c>
      <c r="D410" s="6">
        <v>43289</v>
      </c>
      <c r="E410" s="5" t="s">
        <v>160</v>
      </c>
      <c r="F410" s="5" t="s">
        <v>1555</v>
      </c>
      <c r="G410" s="5" t="s">
        <v>1556</v>
      </c>
      <c r="H410" s="5" t="s">
        <v>39</v>
      </c>
      <c r="I410" s="5" t="s">
        <v>27</v>
      </c>
      <c r="J410" s="5" t="s">
        <v>232</v>
      </c>
      <c r="K410" s="5" t="s">
        <v>1557</v>
      </c>
      <c r="L410" s="5">
        <v>39212</v>
      </c>
      <c r="M410" s="5" t="s">
        <v>42</v>
      </c>
      <c r="N410" s="5" t="s">
        <v>294</v>
      </c>
      <c r="O410" s="5" t="s">
        <v>32</v>
      </c>
      <c r="P410" s="5" t="s">
        <v>64</v>
      </c>
      <c r="Q410" s="5" t="s">
        <v>295</v>
      </c>
      <c r="R410" s="5">
        <v>19.440000000000001</v>
      </c>
      <c r="S410" s="5">
        <v>3</v>
      </c>
      <c r="T410" s="5">
        <v>0</v>
      </c>
      <c r="U410" s="5">
        <v>58.320000000000007</v>
      </c>
      <c r="V410" s="7">
        <v>9.3312000000000008</v>
      </c>
    </row>
    <row r="411" spans="1:22" ht="15.5" x14ac:dyDescent="0.35">
      <c r="A411" s="8">
        <v>692</v>
      </c>
      <c r="B411" s="9" t="s">
        <v>1560</v>
      </c>
      <c r="C411" s="10">
        <v>43272</v>
      </c>
      <c r="D411" s="10">
        <v>43274</v>
      </c>
      <c r="E411" s="9" t="s">
        <v>23</v>
      </c>
      <c r="F411" s="9" t="s">
        <v>1561</v>
      </c>
      <c r="G411" s="9" t="s">
        <v>1562</v>
      </c>
      <c r="H411" s="9" t="s">
        <v>39</v>
      </c>
      <c r="I411" s="9" t="s">
        <v>27</v>
      </c>
      <c r="J411" s="9" t="s">
        <v>1563</v>
      </c>
      <c r="K411" s="9" t="s">
        <v>223</v>
      </c>
      <c r="L411" s="9">
        <v>22980</v>
      </c>
      <c r="M411" s="9" t="s">
        <v>42</v>
      </c>
      <c r="N411" s="9" t="s">
        <v>1564</v>
      </c>
      <c r="O411" s="9" t="s">
        <v>32</v>
      </c>
      <c r="P411" s="9" t="s">
        <v>44</v>
      </c>
      <c r="Q411" s="9" t="s">
        <v>1565</v>
      </c>
      <c r="R411" s="9">
        <v>36.839999999999996</v>
      </c>
      <c r="S411" s="9">
        <v>3</v>
      </c>
      <c r="T411" s="9">
        <v>0</v>
      </c>
      <c r="U411" s="9">
        <v>110.51999999999998</v>
      </c>
      <c r="V411" s="11">
        <v>10.315199999999999</v>
      </c>
    </row>
    <row r="412" spans="1:22" ht="15.5" x14ac:dyDescent="0.35">
      <c r="A412" s="4">
        <v>694</v>
      </c>
      <c r="B412" s="5" t="s">
        <v>1566</v>
      </c>
      <c r="C412" s="6">
        <v>43552</v>
      </c>
      <c r="D412" s="6">
        <v>43557</v>
      </c>
      <c r="E412" s="5" t="s">
        <v>36</v>
      </c>
      <c r="F412" s="5" t="s">
        <v>1567</v>
      </c>
      <c r="G412" s="5" t="s">
        <v>1568</v>
      </c>
      <c r="H412" s="5" t="s">
        <v>39</v>
      </c>
      <c r="I412" s="5" t="s">
        <v>27</v>
      </c>
      <c r="J412" s="5" t="s">
        <v>28</v>
      </c>
      <c r="K412" s="5" t="s">
        <v>29</v>
      </c>
      <c r="L412" s="5">
        <v>90036</v>
      </c>
      <c r="M412" s="5" t="s">
        <v>30</v>
      </c>
      <c r="N412" s="5" t="s">
        <v>1569</v>
      </c>
      <c r="O412" s="5" t="s">
        <v>32</v>
      </c>
      <c r="P412" s="5" t="s">
        <v>64</v>
      </c>
      <c r="Q412" s="5" t="s">
        <v>1570</v>
      </c>
      <c r="R412" s="5">
        <v>33.4</v>
      </c>
      <c r="S412" s="5">
        <v>5</v>
      </c>
      <c r="T412" s="5">
        <v>0</v>
      </c>
      <c r="U412" s="5">
        <v>167</v>
      </c>
      <c r="V412" s="7">
        <v>16.032</v>
      </c>
    </row>
    <row r="413" spans="1:22" ht="15.5" x14ac:dyDescent="0.35">
      <c r="A413" s="8">
        <v>695</v>
      </c>
      <c r="B413" s="9" t="s">
        <v>1571</v>
      </c>
      <c r="C413" s="10">
        <v>43599</v>
      </c>
      <c r="D413" s="10">
        <v>43602</v>
      </c>
      <c r="E413" s="9" t="s">
        <v>160</v>
      </c>
      <c r="F413" s="9" t="s">
        <v>1572</v>
      </c>
      <c r="G413" s="9" t="s">
        <v>1573</v>
      </c>
      <c r="H413" s="9" t="s">
        <v>76</v>
      </c>
      <c r="I413" s="9" t="s">
        <v>27</v>
      </c>
      <c r="J413" s="9" t="s">
        <v>1574</v>
      </c>
      <c r="K413" s="9" t="s">
        <v>124</v>
      </c>
      <c r="L413" s="9">
        <v>19013</v>
      </c>
      <c r="M413" s="9" t="s">
        <v>125</v>
      </c>
      <c r="N413" s="9" t="s">
        <v>811</v>
      </c>
      <c r="O413" s="9" t="s">
        <v>32</v>
      </c>
      <c r="P413" s="9" t="s">
        <v>50</v>
      </c>
      <c r="Q413" s="9" t="s">
        <v>812</v>
      </c>
      <c r="R413" s="9">
        <v>198.27200000000002</v>
      </c>
      <c r="S413" s="9">
        <v>8</v>
      </c>
      <c r="T413" s="9">
        <v>0.2</v>
      </c>
      <c r="U413" s="9">
        <v>1268.9408000000001</v>
      </c>
      <c r="V413" s="11">
        <v>17.34879999999999</v>
      </c>
    </row>
    <row r="414" spans="1:22" ht="15.5" x14ac:dyDescent="0.35">
      <c r="A414" s="4">
        <v>696</v>
      </c>
      <c r="B414" s="5" t="s">
        <v>1571</v>
      </c>
      <c r="C414" s="6">
        <v>43599</v>
      </c>
      <c r="D414" s="6">
        <v>43602</v>
      </c>
      <c r="E414" s="5" t="s">
        <v>160</v>
      </c>
      <c r="F414" s="5" t="s">
        <v>1572</v>
      </c>
      <c r="G414" s="5" t="s">
        <v>1573</v>
      </c>
      <c r="H414" s="5" t="s">
        <v>76</v>
      </c>
      <c r="I414" s="5" t="s">
        <v>27</v>
      </c>
      <c r="J414" s="5" t="s">
        <v>1574</v>
      </c>
      <c r="K414" s="5" t="s">
        <v>124</v>
      </c>
      <c r="L414" s="5">
        <v>19013</v>
      </c>
      <c r="M414" s="5" t="s">
        <v>125</v>
      </c>
      <c r="N414" s="5" t="s">
        <v>1575</v>
      </c>
      <c r="O414" s="5" t="s">
        <v>32</v>
      </c>
      <c r="P414" s="5" t="s">
        <v>33</v>
      </c>
      <c r="Q414" s="5" t="s">
        <v>1576</v>
      </c>
      <c r="R414" s="5">
        <v>47.360000000000007</v>
      </c>
      <c r="S414" s="5">
        <v>4</v>
      </c>
      <c r="T414" s="5">
        <v>0.2</v>
      </c>
      <c r="U414" s="5">
        <v>151.55200000000002</v>
      </c>
      <c r="V414" s="7">
        <v>17.759999999999998</v>
      </c>
    </row>
    <row r="415" spans="1:22" ht="15.5" x14ac:dyDescent="0.35">
      <c r="A415" s="8">
        <v>697</v>
      </c>
      <c r="B415" s="9" t="s">
        <v>1571</v>
      </c>
      <c r="C415" s="10">
        <v>43599</v>
      </c>
      <c r="D415" s="10">
        <v>43602</v>
      </c>
      <c r="E415" s="9" t="s">
        <v>160</v>
      </c>
      <c r="F415" s="9" t="s">
        <v>1572</v>
      </c>
      <c r="G415" s="9" t="s">
        <v>1573</v>
      </c>
      <c r="H415" s="9" t="s">
        <v>76</v>
      </c>
      <c r="I415" s="9" t="s">
        <v>27</v>
      </c>
      <c r="J415" s="9" t="s">
        <v>1574</v>
      </c>
      <c r="K415" s="9" t="s">
        <v>124</v>
      </c>
      <c r="L415" s="9">
        <v>19013</v>
      </c>
      <c r="M415" s="9" t="s">
        <v>125</v>
      </c>
      <c r="N415" s="9" t="s">
        <v>269</v>
      </c>
      <c r="O415" s="9" t="s">
        <v>32</v>
      </c>
      <c r="P415" s="9" t="s">
        <v>129</v>
      </c>
      <c r="Q415" s="9" t="s">
        <v>270</v>
      </c>
      <c r="R415" s="9">
        <v>200.98400000000004</v>
      </c>
      <c r="S415" s="9">
        <v>7</v>
      </c>
      <c r="T415" s="9">
        <v>0.2</v>
      </c>
      <c r="U415" s="9">
        <v>1125.5104000000003</v>
      </c>
      <c r="V415" s="11">
        <v>62.807499999999976</v>
      </c>
    </row>
    <row r="416" spans="1:22" ht="15.5" x14ac:dyDescent="0.35">
      <c r="A416" s="4">
        <v>698</v>
      </c>
      <c r="B416" s="5" t="s">
        <v>1571</v>
      </c>
      <c r="C416" s="6">
        <v>43599</v>
      </c>
      <c r="D416" s="6">
        <v>43602</v>
      </c>
      <c r="E416" s="5" t="s">
        <v>160</v>
      </c>
      <c r="F416" s="5" t="s">
        <v>1572</v>
      </c>
      <c r="G416" s="5" t="s">
        <v>1573</v>
      </c>
      <c r="H416" s="5" t="s">
        <v>76</v>
      </c>
      <c r="I416" s="5" t="s">
        <v>27</v>
      </c>
      <c r="J416" s="5" t="s">
        <v>1574</v>
      </c>
      <c r="K416" s="5" t="s">
        <v>124</v>
      </c>
      <c r="L416" s="5">
        <v>19013</v>
      </c>
      <c r="M416" s="5" t="s">
        <v>125</v>
      </c>
      <c r="N416" s="5" t="s">
        <v>1577</v>
      </c>
      <c r="O416" s="5" t="s">
        <v>32</v>
      </c>
      <c r="P416" s="5" t="s">
        <v>33</v>
      </c>
      <c r="Q416" s="5" t="s">
        <v>1578</v>
      </c>
      <c r="R416" s="5">
        <v>97.696000000000012</v>
      </c>
      <c r="S416" s="5">
        <v>4</v>
      </c>
      <c r="T416" s="5">
        <v>0.2</v>
      </c>
      <c r="U416" s="5">
        <v>312.62720000000002</v>
      </c>
      <c r="V416" s="7">
        <v>31.751200000000001</v>
      </c>
    </row>
    <row r="417" spans="1:22" ht="15.5" x14ac:dyDescent="0.35">
      <c r="A417" s="8">
        <v>699</v>
      </c>
      <c r="B417" s="9" t="s">
        <v>1571</v>
      </c>
      <c r="C417" s="10">
        <v>43599</v>
      </c>
      <c r="D417" s="10">
        <v>43602</v>
      </c>
      <c r="E417" s="9" t="s">
        <v>160</v>
      </c>
      <c r="F417" s="9" t="s">
        <v>1572</v>
      </c>
      <c r="G417" s="9" t="s">
        <v>1573</v>
      </c>
      <c r="H417" s="9" t="s">
        <v>76</v>
      </c>
      <c r="I417" s="9" t="s">
        <v>27</v>
      </c>
      <c r="J417" s="9" t="s">
        <v>1574</v>
      </c>
      <c r="K417" s="9" t="s">
        <v>124</v>
      </c>
      <c r="L417" s="9">
        <v>19013</v>
      </c>
      <c r="M417" s="9" t="s">
        <v>125</v>
      </c>
      <c r="N417" s="9" t="s">
        <v>1579</v>
      </c>
      <c r="O417" s="9" t="s">
        <v>32</v>
      </c>
      <c r="P417" s="9" t="s">
        <v>50</v>
      </c>
      <c r="Q417" s="9" t="s">
        <v>1580</v>
      </c>
      <c r="R417" s="9">
        <v>2.6960000000000002</v>
      </c>
      <c r="S417" s="9">
        <v>1</v>
      </c>
      <c r="T417" s="9">
        <v>0.2</v>
      </c>
      <c r="U417" s="9">
        <v>2.1568000000000001</v>
      </c>
      <c r="V417" s="11">
        <v>0.8088000000000003</v>
      </c>
    </row>
    <row r="418" spans="1:22" ht="15.5" x14ac:dyDescent="0.35">
      <c r="A418" s="4">
        <v>700</v>
      </c>
      <c r="B418" s="5" t="s">
        <v>1571</v>
      </c>
      <c r="C418" s="6">
        <v>43599</v>
      </c>
      <c r="D418" s="6">
        <v>43602</v>
      </c>
      <c r="E418" s="5" t="s">
        <v>160</v>
      </c>
      <c r="F418" s="5" t="s">
        <v>1572</v>
      </c>
      <c r="G418" s="5" t="s">
        <v>1573</v>
      </c>
      <c r="H418" s="5" t="s">
        <v>76</v>
      </c>
      <c r="I418" s="5" t="s">
        <v>27</v>
      </c>
      <c r="J418" s="5" t="s">
        <v>1574</v>
      </c>
      <c r="K418" s="5" t="s">
        <v>124</v>
      </c>
      <c r="L418" s="5">
        <v>19013</v>
      </c>
      <c r="M418" s="5" t="s">
        <v>125</v>
      </c>
      <c r="N418" s="5" t="s">
        <v>1581</v>
      </c>
      <c r="O418" s="5" t="s">
        <v>32</v>
      </c>
      <c r="P418" s="5" t="s">
        <v>53</v>
      </c>
      <c r="Q418" s="5" t="s">
        <v>1582</v>
      </c>
      <c r="R418" s="5">
        <v>18.588000000000005</v>
      </c>
      <c r="S418" s="5">
        <v>2</v>
      </c>
      <c r="T418" s="5">
        <v>0.7</v>
      </c>
      <c r="U418" s="5">
        <v>11.152800000000003</v>
      </c>
      <c r="V418" s="7">
        <v>-13.6312</v>
      </c>
    </row>
    <row r="419" spans="1:22" ht="15.5" x14ac:dyDescent="0.35">
      <c r="A419" s="8">
        <v>701</v>
      </c>
      <c r="B419" s="9" t="s">
        <v>1571</v>
      </c>
      <c r="C419" s="10">
        <v>43599</v>
      </c>
      <c r="D419" s="10">
        <v>43602</v>
      </c>
      <c r="E419" s="9" t="s">
        <v>160</v>
      </c>
      <c r="F419" s="9" t="s">
        <v>1572</v>
      </c>
      <c r="G419" s="9" t="s">
        <v>1573</v>
      </c>
      <c r="H419" s="9" t="s">
        <v>76</v>
      </c>
      <c r="I419" s="9" t="s">
        <v>27</v>
      </c>
      <c r="J419" s="9" t="s">
        <v>1574</v>
      </c>
      <c r="K419" s="9" t="s">
        <v>124</v>
      </c>
      <c r="L419" s="9">
        <v>19013</v>
      </c>
      <c r="M419" s="9" t="s">
        <v>125</v>
      </c>
      <c r="N419" s="9" t="s">
        <v>840</v>
      </c>
      <c r="O419" s="9" t="s">
        <v>32</v>
      </c>
      <c r="P419" s="9" t="s">
        <v>53</v>
      </c>
      <c r="Q419" s="9" t="s">
        <v>841</v>
      </c>
      <c r="R419" s="9">
        <v>4.8960000000000008</v>
      </c>
      <c r="S419" s="9">
        <v>3</v>
      </c>
      <c r="T419" s="9">
        <v>0.7</v>
      </c>
      <c r="U419" s="9">
        <v>4.4064000000000014</v>
      </c>
      <c r="V419" s="11">
        <v>-3.4271999999999991</v>
      </c>
    </row>
    <row r="420" spans="1:22" ht="15.5" x14ac:dyDescent="0.35">
      <c r="A420" s="4">
        <v>705</v>
      </c>
      <c r="B420" s="5" t="s">
        <v>1583</v>
      </c>
      <c r="C420" s="6">
        <v>43355</v>
      </c>
      <c r="D420" s="6">
        <v>43360</v>
      </c>
      <c r="E420" s="5" t="s">
        <v>36</v>
      </c>
      <c r="F420" s="5" t="s">
        <v>1584</v>
      </c>
      <c r="G420" s="5" t="s">
        <v>1585</v>
      </c>
      <c r="H420" s="5" t="s">
        <v>26</v>
      </c>
      <c r="I420" s="5" t="s">
        <v>27</v>
      </c>
      <c r="J420" s="5" t="s">
        <v>1586</v>
      </c>
      <c r="K420" s="5" t="s">
        <v>62</v>
      </c>
      <c r="L420" s="5">
        <v>27511</v>
      </c>
      <c r="M420" s="5" t="s">
        <v>42</v>
      </c>
      <c r="N420" s="5" t="s">
        <v>1587</v>
      </c>
      <c r="O420" s="5" t="s">
        <v>32</v>
      </c>
      <c r="P420" s="5" t="s">
        <v>64</v>
      </c>
      <c r="Q420" s="5" t="s">
        <v>1588</v>
      </c>
      <c r="R420" s="5">
        <v>10.368000000000002</v>
      </c>
      <c r="S420" s="5">
        <v>2</v>
      </c>
      <c r="T420" s="5">
        <v>0.2</v>
      </c>
      <c r="U420" s="5">
        <v>16.588800000000003</v>
      </c>
      <c r="V420" s="7">
        <v>3.6288</v>
      </c>
    </row>
    <row r="421" spans="1:22" ht="15.5" x14ac:dyDescent="0.35">
      <c r="A421" s="8">
        <v>706</v>
      </c>
      <c r="B421" s="9" t="s">
        <v>1583</v>
      </c>
      <c r="C421" s="10">
        <v>43355</v>
      </c>
      <c r="D421" s="10">
        <v>43360</v>
      </c>
      <c r="E421" s="9" t="s">
        <v>36</v>
      </c>
      <c r="F421" s="9" t="s">
        <v>1584</v>
      </c>
      <c r="G421" s="9" t="s">
        <v>1585</v>
      </c>
      <c r="H421" s="9" t="s">
        <v>26</v>
      </c>
      <c r="I421" s="9" t="s">
        <v>27</v>
      </c>
      <c r="J421" s="9" t="s">
        <v>1586</v>
      </c>
      <c r="K421" s="9" t="s">
        <v>62</v>
      </c>
      <c r="L421" s="9">
        <v>27511</v>
      </c>
      <c r="M421" s="9" t="s">
        <v>42</v>
      </c>
      <c r="N421" s="9" t="s">
        <v>1589</v>
      </c>
      <c r="O421" s="9" t="s">
        <v>32</v>
      </c>
      <c r="P421" s="9" t="s">
        <v>56</v>
      </c>
      <c r="Q421" s="9" t="s">
        <v>1590</v>
      </c>
      <c r="R421" s="9">
        <v>166.84</v>
      </c>
      <c r="S421" s="9">
        <v>5</v>
      </c>
      <c r="T421" s="9">
        <v>0.2</v>
      </c>
      <c r="U421" s="9">
        <v>667.36</v>
      </c>
      <c r="V421" s="11">
        <v>18.769499999999987</v>
      </c>
    </row>
    <row r="422" spans="1:22" ht="15.5" x14ac:dyDescent="0.35">
      <c r="A422" s="4">
        <v>710</v>
      </c>
      <c r="B422" s="5" t="s">
        <v>1591</v>
      </c>
      <c r="C422" s="6">
        <v>43436</v>
      </c>
      <c r="D422" s="6">
        <v>43438</v>
      </c>
      <c r="E422" s="5" t="s">
        <v>160</v>
      </c>
      <c r="F422" s="5" t="s">
        <v>1592</v>
      </c>
      <c r="G422" s="5" t="s">
        <v>1593</v>
      </c>
      <c r="H422" s="5" t="s">
        <v>39</v>
      </c>
      <c r="I422" s="5" t="s">
        <v>27</v>
      </c>
      <c r="J422" s="5" t="s">
        <v>186</v>
      </c>
      <c r="K422" s="5" t="s">
        <v>187</v>
      </c>
      <c r="L422" s="5">
        <v>10035</v>
      </c>
      <c r="M422" s="5" t="s">
        <v>125</v>
      </c>
      <c r="N422" s="5" t="s">
        <v>962</v>
      </c>
      <c r="O422" s="5" t="s">
        <v>32</v>
      </c>
      <c r="P422" s="5" t="s">
        <v>53</v>
      </c>
      <c r="Q422" s="5" t="s">
        <v>963</v>
      </c>
      <c r="R422" s="5">
        <v>46.72</v>
      </c>
      <c r="S422" s="5">
        <v>8</v>
      </c>
      <c r="T422" s="5">
        <v>0.2</v>
      </c>
      <c r="U422" s="5">
        <v>299.00799999999998</v>
      </c>
      <c r="V422" s="7">
        <v>15.767999999999997</v>
      </c>
    </row>
    <row r="423" spans="1:22" ht="15.5" x14ac:dyDescent="0.35">
      <c r="A423" s="8">
        <v>711</v>
      </c>
      <c r="B423" s="9" t="s">
        <v>1594</v>
      </c>
      <c r="C423" s="10">
        <v>43195</v>
      </c>
      <c r="D423" s="10">
        <v>43197</v>
      </c>
      <c r="E423" s="9" t="s">
        <v>160</v>
      </c>
      <c r="F423" s="9" t="s">
        <v>1595</v>
      </c>
      <c r="G423" s="9" t="s">
        <v>1596</v>
      </c>
      <c r="H423" s="9" t="s">
        <v>76</v>
      </c>
      <c r="I423" s="9" t="s">
        <v>27</v>
      </c>
      <c r="J423" s="9" t="s">
        <v>186</v>
      </c>
      <c r="K423" s="9" t="s">
        <v>187</v>
      </c>
      <c r="L423" s="9">
        <v>10035</v>
      </c>
      <c r="M423" s="9" t="s">
        <v>125</v>
      </c>
      <c r="N423" s="9" t="s">
        <v>1136</v>
      </c>
      <c r="O423" s="9" t="s">
        <v>32</v>
      </c>
      <c r="P423" s="9" t="s">
        <v>64</v>
      </c>
      <c r="Q423" s="9" t="s">
        <v>1137</v>
      </c>
      <c r="R423" s="9">
        <v>55.48</v>
      </c>
      <c r="S423" s="9">
        <v>1</v>
      </c>
      <c r="T423" s="9">
        <v>0</v>
      </c>
      <c r="U423" s="9">
        <v>55.48</v>
      </c>
      <c r="V423" s="11">
        <v>26.630399999999998</v>
      </c>
    </row>
    <row r="424" spans="1:22" ht="15.5" x14ac:dyDescent="0.35">
      <c r="A424" s="4">
        <v>712</v>
      </c>
      <c r="B424" s="5" t="s">
        <v>1597</v>
      </c>
      <c r="C424" s="6">
        <v>44442</v>
      </c>
      <c r="D424" s="6">
        <v>44446</v>
      </c>
      <c r="E424" s="5" t="s">
        <v>36</v>
      </c>
      <c r="F424" s="5" t="s">
        <v>1598</v>
      </c>
      <c r="G424" s="5" t="s">
        <v>1599</v>
      </c>
      <c r="H424" s="5" t="s">
        <v>39</v>
      </c>
      <c r="I424" s="5" t="s">
        <v>27</v>
      </c>
      <c r="J424" s="5" t="s">
        <v>1600</v>
      </c>
      <c r="K424" s="5" t="s">
        <v>41</v>
      </c>
      <c r="L424" s="5">
        <v>32137</v>
      </c>
      <c r="M424" s="5" t="s">
        <v>42</v>
      </c>
      <c r="N424" s="5" t="s">
        <v>1601</v>
      </c>
      <c r="O424" s="5" t="s">
        <v>32</v>
      </c>
      <c r="P424" s="5" t="s">
        <v>129</v>
      </c>
      <c r="Q424" s="5" t="s">
        <v>1602</v>
      </c>
      <c r="R424" s="5">
        <v>24.448</v>
      </c>
      <c r="S424" s="5">
        <v>4</v>
      </c>
      <c r="T424" s="5">
        <v>0.2</v>
      </c>
      <c r="U424" s="5">
        <v>78.233599999999996</v>
      </c>
      <c r="V424" s="7">
        <v>8.8623999999999992</v>
      </c>
    </row>
    <row r="425" spans="1:22" ht="15.5" x14ac:dyDescent="0.35">
      <c r="A425" s="8">
        <v>713</v>
      </c>
      <c r="B425" s="9" t="s">
        <v>1603</v>
      </c>
      <c r="C425" s="10">
        <v>44335</v>
      </c>
      <c r="D425" s="10">
        <v>44340</v>
      </c>
      <c r="E425" s="9" t="s">
        <v>36</v>
      </c>
      <c r="F425" s="9" t="s">
        <v>1604</v>
      </c>
      <c r="G425" s="9" t="s">
        <v>1605</v>
      </c>
      <c r="H425" s="9" t="s">
        <v>26</v>
      </c>
      <c r="I425" s="9" t="s">
        <v>27</v>
      </c>
      <c r="J425" s="9" t="s">
        <v>1606</v>
      </c>
      <c r="K425" s="9" t="s">
        <v>187</v>
      </c>
      <c r="L425" s="9">
        <v>10550</v>
      </c>
      <c r="M425" s="9" t="s">
        <v>125</v>
      </c>
      <c r="N425" s="9" t="s">
        <v>1607</v>
      </c>
      <c r="O425" s="9" t="s">
        <v>32</v>
      </c>
      <c r="P425" s="9" t="s">
        <v>56</v>
      </c>
      <c r="Q425" s="9" t="s">
        <v>1608</v>
      </c>
      <c r="R425" s="9">
        <v>281.34000000000003</v>
      </c>
      <c r="S425" s="9">
        <v>6</v>
      </c>
      <c r="T425" s="9">
        <v>0</v>
      </c>
      <c r="U425" s="9">
        <v>1688.0400000000002</v>
      </c>
      <c r="V425" s="11">
        <v>109.72260000000001</v>
      </c>
    </row>
    <row r="426" spans="1:22" ht="15.5" x14ac:dyDescent="0.35">
      <c r="A426" s="4">
        <v>716</v>
      </c>
      <c r="B426" s="5" t="s">
        <v>1609</v>
      </c>
      <c r="C426" s="6">
        <v>43282</v>
      </c>
      <c r="D426" s="6">
        <v>43287</v>
      </c>
      <c r="E426" s="5" t="s">
        <v>23</v>
      </c>
      <c r="F426" s="5" t="s">
        <v>687</v>
      </c>
      <c r="G426" s="5" t="s">
        <v>688</v>
      </c>
      <c r="H426" s="5" t="s">
        <v>26</v>
      </c>
      <c r="I426" s="5" t="s">
        <v>27</v>
      </c>
      <c r="J426" s="5" t="s">
        <v>69</v>
      </c>
      <c r="K426" s="5" t="s">
        <v>70</v>
      </c>
      <c r="L426" s="5">
        <v>98105</v>
      </c>
      <c r="M426" s="5" t="s">
        <v>30</v>
      </c>
      <c r="N426" s="5" t="s">
        <v>1610</v>
      </c>
      <c r="O426" s="5" t="s">
        <v>32</v>
      </c>
      <c r="P426" s="5" t="s">
        <v>53</v>
      </c>
      <c r="Q426" s="5" t="s">
        <v>1611</v>
      </c>
      <c r="R426" s="5">
        <v>19.920000000000002</v>
      </c>
      <c r="S426" s="5">
        <v>5</v>
      </c>
      <c r="T426" s="5">
        <v>0.2</v>
      </c>
      <c r="U426" s="5">
        <v>79.680000000000007</v>
      </c>
      <c r="V426" s="7">
        <v>6.9719999999999995</v>
      </c>
    </row>
    <row r="427" spans="1:22" ht="15.5" x14ac:dyDescent="0.35">
      <c r="A427" s="8">
        <v>719</v>
      </c>
      <c r="B427" s="9" t="s">
        <v>1612</v>
      </c>
      <c r="C427" s="10">
        <v>43253</v>
      </c>
      <c r="D427" s="10">
        <v>43258</v>
      </c>
      <c r="E427" s="9" t="s">
        <v>36</v>
      </c>
      <c r="F427" s="9" t="s">
        <v>1613</v>
      </c>
      <c r="G427" s="9" t="s">
        <v>1614</v>
      </c>
      <c r="H427" s="9" t="s">
        <v>76</v>
      </c>
      <c r="I427" s="9" t="s">
        <v>27</v>
      </c>
      <c r="J427" s="9" t="s">
        <v>1615</v>
      </c>
      <c r="K427" s="9" t="s">
        <v>95</v>
      </c>
      <c r="L427" s="9">
        <v>84057</v>
      </c>
      <c r="M427" s="9" t="s">
        <v>30</v>
      </c>
      <c r="N427" s="9" t="s">
        <v>1194</v>
      </c>
      <c r="O427" s="9" t="s">
        <v>32</v>
      </c>
      <c r="P427" s="9" t="s">
        <v>53</v>
      </c>
      <c r="Q427" s="9" t="s">
        <v>1195</v>
      </c>
      <c r="R427" s="9">
        <v>59.808000000000007</v>
      </c>
      <c r="S427" s="9">
        <v>3</v>
      </c>
      <c r="T427" s="9">
        <v>0.2</v>
      </c>
      <c r="U427" s="9">
        <v>143.53920000000002</v>
      </c>
      <c r="V427" s="11">
        <v>19.4376</v>
      </c>
    </row>
    <row r="428" spans="1:22" ht="15.5" x14ac:dyDescent="0.35">
      <c r="A428" s="4">
        <v>721</v>
      </c>
      <c r="B428" s="5" t="s">
        <v>1616</v>
      </c>
      <c r="C428" s="6">
        <v>43874</v>
      </c>
      <c r="D428" s="6">
        <v>43879</v>
      </c>
      <c r="E428" s="5" t="s">
        <v>36</v>
      </c>
      <c r="F428" s="5" t="s">
        <v>1617</v>
      </c>
      <c r="G428" s="5" t="s">
        <v>1618</v>
      </c>
      <c r="H428" s="5" t="s">
        <v>76</v>
      </c>
      <c r="I428" s="5" t="s">
        <v>27</v>
      </c>
      <c r="J428" s="5" t="s">
        <v>28</v>
      </c>
      <c r="K428" s="5" t="s">
        <v>29</v>
      </c>
      <c r="L428" s="5">
        <v>90045</v>
      </c>
      <c r="M428" s="5" t="s">
        <v>30</v>
      </c>
      <c r="N428" s="5" t="s">
        <v>1619</v>
      </c>
      <c r="O428" s="5" t="s">
        <v>32</v>
      </c>
      <c r="P428" s="5" t="s">
        <v>64</v>
      </c>
      <c r="Q428" s="5" t="s">
        <v>1620</v>
      </c>
      <c r="R428" s="5">
        <v>146.82</v>
      </c>
      <c r="S428" s="5">
        <v>3</v>
      </c>
      <c r="T428" s="5">
        <v>0</v>
      </c>
      <c r="U428" s="5">
        <v>440.46</v>
      </c>
      <c r="V428" s="7">
        <v>73.41</v>
      </c>
    </row>
    <row r="429" spans="1:22" ht="15.5" x14ac:dyDescent="0.35">
      <c r="A429" s="8">
        <v>723</v>
      </c>
      <c r="B429" s="9" t="s">
        <v>1621</v>
      </c>
      <c r="C429" s="10">
        <v>44180</v>
      </c>
      <c r="D429" s="10">
        <v>44184</v>
      </c>
      <c r="E429" s="9" t="s">
        <v>36</v>
      </c>
      <c r="F429" s="9" t="s">
        <v>1042</v>
      </c>
      <c r="G429" s="9" t="s">
        <v>1043</v>
      </c>
      <c r="H429" s="9" t="s">
        <v>26</v>
      </c>
      <c r="I429" s="9" t="s">
        <v>27</v>
      </c>
      <c r="J429" s="9" t="s">
        <v>628</v>
      </c>
      <c r="K429" s="9" t="s">
        <v>171</v>
      </c>
      <c r="L429" s="9">
        <v>48205</v>
      </c>
      <c r="M429" s="9" t="s">
        <v>79</v>
      </c>
      <c r="N429" s="9" t="s">
        <v>1622</v>
      </c>
      <c r="O429" s="9" t="s">
        <v>32</v>
      </c>
      <c r="P429" s="9" t="s">
        <v>44</v>
      </c>
      <c r="Q429" s="9" t="s">
        <v>1623</v>
      </c>
      <c r="R429" s="9">
        <v>296.37</v>
      </c>
      <c r="S429" s="9">
        <v>3</v>
      </c>
      <c r="T429" s="9">
        <v>0</v>
      </c>
      <c r="U429" s="9">
        <v>889.11</v>
      </c>
      <c r="V429" s="11">
        <v>80.019899999999993</v>
      </c>
    </row>
    <row r="430" spans="1:22" ht="15.5" x14ac:dyDescent="0.35">
      <c r="A430" s="4">
        <v>725</v>
      </c>
      <c r="B430" s="5" t="s">
        <v>1624</v>
      </c>
      <c r="C430" s="6">
        <v>44019</v>
      </c>
      <c r="D430" s="6">
        <v>44024</v>
      </c>
      <c r="E430" s="5" t="s">
        <v>36</v>
      </c>
      <c r="F430" s="5" t="s">
        <v>1625</v>
      </c>
      <c r="G430" s="5" t="s">
        <v>1626</v>
      </c>
      <c r="H430" s="5" t="s">
        <v>26</v>
      </c>
      <c r="I430" s="5" t="s">
        <v>27</v>
      </c>
      <c r="J430" s="5" t="s">
        <v>1627</v>
      </c>
      <c r="K430" s="5" t="s">
        <v>41</v>
      </c>
      <c r="L430" s="5">
        <v>33012</v>
      </c>
      <c r="M430" s="5" t="s">
        <v>42</v>
      </c>
      <c r="N430" s="5" t="s">
        <v>1628</v>
      </c>
      <c r="O430" s="5" t="s">
        <v>32</v>
      </c>
      <c r="P430" s="5" t="s">
        <v>414</v>
      </c>
      <c r="Q430" s="5" t="s">
        <v>1629</v>
      </c>
      <c r="R430" s="5">
        <v>45.584000000000003</v>
      </c>
      <c r="S430" s="5">
        <v>7</v>
      </c>
      <c r="T430" s="5">
        <v>0.2</v>
      </c>
      <c r="U430" s="5">
        <v>255.27040000000002</v>
      </c>
      <c r="V430" s="7">
        <v>5.1281999999999996</v>
      </c>
    </row>
    <row r="431" spans="1:22" ht="15.5" x14ac:dyDescent="0.35">
      <c r="A431" s="8">
        <v>726</v>
      </c>
      <c r="B431" s="9" t="s">
        <v>1630</v>
      </c>
      <c r="C431" s="10">
        <v>44455</v>
      </c>
      <c r="D431" s="10">
        <v>44459</v>
      </c>
      <c r="E431" s="9" t="s">
        <v>36</v>
      </c>
      <c r="F431" s="9" t="s">
        <v>1631</v>
      </c>
      <c r="G431" s="9" t="s">
        <v>1632</v>
      </c>
      <c r="H431" s="9" t="s">
        <v>39</v>
      </c>
      <c r="I431" s="9" t="s">
        <v>27</v>
      </c>
      <c r="J431" s="9" t="s">
        <v>862</v>
      </c>
      <c r="K431" s="9" t="s">
        <v>78</v>
      </c>
      <c r="L431" s="9">
        <v>78745</v>
      </c>
      <c r="M431" s="9" t="s">
        <v>79</v>
      </c>
      <c r="N431" s="9" t="s">
        <v>1633</v>
      </c>
      <c r="O431" s="9" t="s">
        <v>32</v>
      </c>
      <c r="P431" s="9" t="s">
        <v>129</v>
      </c>
      <c r="Q431" s="9" t="s">
        <v>1634</v>
      </c>
      <c r="R431" s="9">
        <v>17.568000000000001</v>
      </c>
      <c r="S431" s="9">
        <v>2</v>
      </c>
      <c r="T431" s="9">
        <v>0.2</v>
      </c>
      <c r="U431" s="9">
        <v>28.108800000000002</v>
      </c>
      <c r="V431" s="11">
        <v>6.3684000000000003</v>
      </c>
    </row>
    <row r="432" spans="1:22" ht="15.5" x14ac:dyDescent="0.35">
      <c r="A432" s="4">
        <v>728</v>
      </c>
      <c r="B432" s="5" t="s">
        <v>1635</v>
      </c>
      <c r="C432" s="6">
        <v>44168</v>
      </c>
      <c r="D432" s="6">
        <v>44171</v>
      </c>
      <c r="E432" s="5" t="s">
        <v>160</v>
      </c>
      <c r="F432" s="5" t="s">
        <v>1636</v>
      </c>
      <c r="G432" s="5" t="s">
        <v>1637</v>
      </c>
      <c r="H432" s="5" t="s">
        <v>39</v>
      </c>
      <c r="I432" s="5" t="s">
        <v>27</v>
      </c>
      <c r="J432" s="5" t="s">
        <v>1638</v>
      </c>
      <c r="K432" s="5" t="s">
        <v>187</v>
      </c>
      <c r="L432" s="5">
        <v>11572</v>
      </c>
      <c r="M432" s="5" t="s">
        <v>125</v>
      </c>
      <c r="N432" s="5" t="s">
        <v>1639</v>
      </c>
      <c r="O432" s="5" t="s">
        <v>32</v>
      </c>
      <c r="P432" s="5" t="s">
        <v>64</v>
      </c>
      <c r="Q432" s="5" t="s">
        <v>1640</v>
      </c>
      <c r="R432" s="5">
        <v>182.72</v>
      </c>
      <c r="S432" s="5">
        <v>8</v>
      </c>
      <c r="T432" s="5">
        <v>0</v>
      </c>
      <c r="U432" s="5">
        <v>1461.76</v>
      </c>
      <c r="V432" s="7">
        <v>84.051199999999994</v>
      </c>
    </row>
    <row r="433" spans="1:22" ht="15.5" x14ac:dyDescent="0.35">
      <c r="A433" s="8">
        <v>730</v>
      </c>
      <c r="B433" s="9" t="s">
        <v>1635</v>
      </c>
      <c r="C433" s="10">
        <v>44168</v>
      </c>
      <c r="D433" s="10">
        <v>44171</v>
      </c>
      <c r="E433" s="9" t="s">
        <v>160</v>
      </c>
      <c r="F433" s="9" t="s">
        <v>1636</v>
      </c>
      <c r="G433" s="9" t="s">
        <v>1637</v>
      </c>
      <c r="H433" s="9" t="s">
        <v>39</v>
      </c>
      <c r="I433" s="9" t="s">
        <v>27</v>
      </c>
      <c r="J433" s="9" t="s">
        <v>1638</v>
      </c>
      <c r="K433" s="9" t="s">
        <v>187</v>
      </c>
      <c r="L433" s="9">
        <v>11572</v>
      </c>
      <c r="M433" s="9" t="s">
        <v>125</v>
      </c>
      <c r="N433" s="9" t="s">
        <v>1641</v>
      </c>
      <c r="O433" s="9" t="s">
        <v>32</v>
      </c>
      <c r="P433" s="9" t="s">
        <v>44</v>
      </c>
      <c r="Q433" s="9" t="s">
        <v>1642</v>
      </c>
      <c r="R433" s="9">
        <v>33.630000000000003</v>
      </c>
      <c r="S433" s="9">
        <v>3</v>
      </c>
      <c r="T433" s="9">
        <v>0</v>
      </c>
      <c r="U433" s="9">
        <v>100.89000000000001</v>
      </c>
      <c r="V433" s="11">
        <v>10.088999999999999</v>
      </c>
    </row>
    <row r="434" spans="1:22" ht="15.5" x14ac:dyDescent="0.35">
      <c r="A434" s="4">
        <v>732</v>
      </c>
      <c r="B434" s="5" t="s">
        <v>1635</v>
      </c>
      <c r="C434" s="6">
        <v>44168</v>
      </c>
      <c r="D434" s="6">
        <v>44171</v>
      </c>
      <c r="E434" s="5" t="s">
        <v>160</v>
      </c>
      <c r="F434" s="5" t="s">
        <v>1636</v>
      </c>
      <c r="G434" s="5" t="s">
        <v>1637</v>
      </c>
      <c r="H434" s="5" t="s">
        <v>39</v>
      </c>
      <c r="I434" s="5" t="s">
        <v>27</v>
      </c>
      <c r="J434" s="5" t="s">
        <v>1638</v>
      </c>
      <c r="K434" s="5" t="s">
        <v>187</v>
      </c>
      <c r="L434" s="5">
        <v>11572</v>
      </c>
      <c r="M434" s="5" t="s">
        <v>125</v>
      </c>
      <c r="N434" s="5" t="s">
        <v>1090</v>
      </c>
      <c r="O434" s="5" t="s">
        <v>32</v>
      </c>
      <c r="P434" s="5" t="s">
        <v>33</v>
      </c>
      <c r="Q434" s="5" t="s">
        <v>1091</v>
      </c>
      <c r="R434" s="5">
        <v>6.3</v>
      </c>
      <c r="S434" s="5">
        <v>2</v>
      </c>
      <c r="T434" s="5">
        <v>0</v>
      </c>
      <c r="U434" s="5">
        <v>12.6</v>
      </c>
      <c r="V434" s="7">
        <v>3.024</v>
      </c>
    </row>
    <row r="435" spans="1:22" ht="15.5" x14ac:dyDescent="0.35">
      <c r="A435" s="8">
        <v>733</v>
      </c>
      <c r="B435" s="9" t="s">
        <v>1643</v>
      </c>
      <c r="C435" s="10">
        <v>44217</v>
      </c>
      <c r="D435" s="10">
        <v>44221</v>
      </c>
      <c r="E435" s="9" t="s">
        <v>36</v>
      </c>
      <c r="F435" s="9" t="s">
        <v>1644</v>
      </c>
      <c r="G435" s="9" t="s">
        <v>1645</v>
      </c>
      <c r="H435" s="9" t="s">
        <v>76</v>
      </c>
      <c r="I435" s="9" t="s">
        <v>27</v>
      </c>
      <c r="J435" s="9" t="s">
        <v>69</v>
      </c>
      <c r="K435" s="9" t="s">
        <v>70</v>
      </c>
      <c r="L435" s="9">
        <v>98115</v>
      </c>
      <c r="M435" s="9" t="s">
        <v>30</v>
      </c>
      <c r="N435" s="9" t="s">
        <v>1234</v>
      </c>
      <c r="O435" s="9" t="s">
        <v>32</v>
      </c>
      <c r="P435" s="9" t="s">
        <v>44</v>
      </c>
      <c r="Q435" s="9" t="s">
        <v>1235</v>
      </c>
      <c r="R435" s="9">
        <v>242.94</v>
      </c>
      <c r="S435" s="9">
        <v>3</v>
      </c>
      <c r="T435" s="9">
        <v>0</v>
      </c>
      <c r="U435" s="9">
        <v>728.81999999999994</v>
      </c>
      <c r="V435" s="11">
        <v>9.7175999999999902</v>
      </c>
    </row>
    <row r="436" spans="1:22" ht="15.5" x14ac:dyDescent="0.35">
      <c r="A436" s="4">
        <v>735</v>
      </c>
      <c r="B436" s="5" t="s">
        <v>1643</v>
      </c>
      <c r="C436" s="6">
        <v>44217</v>
      </c>
      <c r="D436" s="6">
        <v>44221</v>
      </c>
      <c r="E436" s="5" t="s">
        <v>36</v>
      </c>
      <c r="F436" s="5" t="s">
        <v>1644</v>
      </c>
      <c r="G436" s="5" t="s">
        <v>1645</v>
      </c>
      <c r="H436" s="5" t="s">
        <v>76</v>
      </c>
      <c r="I436" s="5" t="s">
        <v>27</v>
      </c>
      <c r="J436" s="5" t="s">
        <v>69</v>
      </c>
      <c r="K436" s="5" t="s">
        <v>70</v>
      </c>
      <c r="L436" s="5">
        <v>98115</v>
      </c>
      <c r="M436" s="5" t="s">
        <v>30</v>
      </c>
      <c r="N436" s="5" t="s">
        <v>968</v>
      </c>
      <c r="O436" s="5" t="s">
        <v>32</v>
      </c>
      <c r="P436" s="5" t="s">
        <v>53</v>
      </c>
      <c r="Q436" s="5" t="s">
        <v>969</v>
      </c>
      <c r="R436" s="5">
        <v>99.695999999999998</v>
      </c>
      <c r="S436" s="5">
        <v>6</v>
      </c>
      <c r="T436" s="5">
        <v>0.2</v>
      </c>
      <c r="U436" s="5">
        <v>478.54079999999993</v>
      </c>
      <c r="V436" s="7">
        <v>33.647399999999998</v>
      </c>
    </row>
    <row r="437" spans="1:22" ht="15.5" x14ac:dyDescent="0.35">
      <c r="A437" s="8">
        <v>736</v>
      </c>
      <c r="B437" s="9" t="s">
        <v>1643</v>
      </c>
      <c r="C437" s="10">
        <v>44217</v>
      </c>
      <c r="D437" s="10">
        <v>44221</v>
      </c>
      <c r="E437" s="9" t="s">
        <v>36</v>
      </c>
      <c r="F437" s="9" t="s">
        <v>1644</v>
      </c>
      <c r="G437" s="9" t="s">
        <v>1645</v>
      </c>
      <c r="H437" s="9" t="s">
        <v>76</v>
      </c>
      <c r="I437" s="9" t="s">
        <v>27</v>
      </c>
      <c r="J437" s="9" t="s">
        <v>69</v>
      </c>
      <c r="K437" s="9" t="s">
        <v>70</v>
      </c>
      <c r="L437" s="9">
        <v>98115</v>
      </c>
      <c r="M437" s="9" t="s">
        <v>30</v>
      </c>
      <c r="N437" s="9" t="s">
        <v>165</v>
      </c>
      <c r="O437" s="9" t="s">
        <v>32</v>
      </c>
      <c r="P437" s="9" t="s">
        <v>53</v>
      </c>
      <c r="Q437" s="9" t="s">
        <v>166</v>
      </c>
      <c r="R437" s="9">
        <v>27.936000000000003</v>
      </c>
      <c r="S437" s="9">
        <v>4</v>
      </c>
      <c r="T437" s="9">
        <v>0.2</v>
      </c>
      <c r="U437" s="9">
        <v>89.395200000000017</v>
      </c>
      <c r="V437" s="11">
        <v>9.4283999999999963</v>
      </c>
    </row>
    <row r="438" spans="1:22" ht="15.5" x14ac:dyDescent="0.35">
      <c r="A438" s="4">
        <v>738</v>
      </c>
      <c r="B438" s="5" t="s">
        <v>1643</v>
      </c>
      <c r="C438" s="6">
        <v>44217</v>
      </c>
      <c r="D438" s="6">
        <v>44221</v>
      </c>
      <c r="E438" s="5" t="s">
        <v>36</v>
      </c>
      <c r="F438" s="5" t="s">
        <v>1644</v>
      </c>
      <c r="G438" s="5" t="s">
        <v>1645</v>
      </c>
      <c r="H438" s="5" t="s">
        <v>76</v>
      </c>
      <c r="I438" s="5" t="s">
        <v>27</v>
      </c>
      <c r="J438" s="5" t="s">
        <v>69</v>
      </c>
      <c r="K438" s="5" t="s">
        <v>70</v>
      </c>
      <c r="L438" s="5">
        <v>98115</v>
      </c>
      <c r="M438" s="5" t="s">
        <v>30</v>
      </c>
      <c r="N438" s="5" t="s">
        <v>1646</v>
      </c>
      <c r="O438" s="5" t="s">
        <v>32</v>
      </c>
      <c r="P438" s="5" t="s">
        <v>53</v>
      </c>
      <c r="Q438" s="5" t="s">
        <v>1647</v>
      </c>
      <c r="R438" s="5">
        <v>18.72</v>
      </c>
      <c r="S438" s="5">
        <v>5</v>
      </c>
      <c r="T438" s="5">
        <v>0.2</v>
      </c>
      <c r="U438" s="5">
        <v>74.88</v>
      </c>
      <c r="V438" s="7">
        <v>6.5519999999999996</v>
      </c>
    </row>
    <row r="439" spans="1:22" ht="15.5" x14ac:dyDescent="0.35">
      <c r="A439" s="8">
        <v>740</v>
      </c>
      <c r="B439" s="9" t="s">
        <v>1648</v>
      </c>
      <c r="C439" s="10">
        <v>43104</v>
      </c>
      <c r="D439" s="10">
        <v>43108</v>
      </c>
      <c r="E439" s="9" t="s">
        <v>36</v>
      </c>
      <c r="F439" s="9" t="s">
        <v>1649</v>
      </c>
      <c r="G439" s="9" t="s">
        <v>1650</v>
      </c>
      <c r="H439" s="9" t="s">
        <v>76</v>
      </c>
      <c r="I439" s="9" t="s">
        <v>27</v>
      </c>
      <c r="J439" s="9" t="s">
        <v>1651</v>
      </c>
      <c r="K439" s="9" t="s">
        <v>275</v>
      </c>
      <c r="L439" s="9">
        <v>60540</v>
      </c>
      <c r="M439" s="9" t="s">
        <v>79</v>
      </c>
      <c r="N439" s="9" t="s">
        <v>1652</v>
      </c>
      <c r="O439" s="9" t="s">
        <v>32</v>
      </c>
      <c r="P439" s="9" t="s">
        <v>33</v>
      </c>
      <c r="Q439" s="9" t="s">
        <v>1653</v>
      </c>
      <c r="R439" s="9">
        <v>11.784000000000001</v>
      </c>
      <c r="S439" s="9">
        <v>3</v>
      </c>
      <c r="T439" s="9">
        <v>0.2</v>
      </c>
      <c r="U439" s="9">
        <v>28.281600000000005</v>
      </c>
      <c r="V439" s="11">
        <v>4.2716999999999992</v>
      </c>
    </row>
    <row r="440" spans="1:22" ht="15.5" x14ac:dyDescent="0.35">
      <c r="A440" s="4">
        <v>741</v>
      </c>
      <c r="B440" s="5" t="s">
        <v>1648</v>
      </c>
      <c r="C440" s="6">
        <v>43104</v>
      </c>
      <c r="D440" s="6">
        <v>43108</v>
      </c>
      <c r="E440" s="5" t="s">
        <v>36</v>
      </c>
      <c r="F440" s="5" t="s">
        <v>1649</v>
      </c>
      <c r="G440" s="5" t="s">
        <v>1650</v>
      </c>
      <c r="H440" s="5" t="s">
        <v>76</v>
      </c>
      <c r="I440" s="5" t="s">
        <v>27</v>
      </c>
      <c r="J440" s="5" t="s">
        <v>1651</v>
      </c>
      <c r="K440" s="5" t="s">
        <v>275</v>
      </c>
      <c r="L440" s="5">
        <v>60540</v>
      </c>
      <c r="M440" s="5" t="s">
        <v>79</v>
      </c>
      <c r="N440" s="5" t="s">
        <v>1141</v>
      </c>
      <c r="O440" s="5" t="s">
        <v>32</v>
      </c>
      <c r="P440" s="5" t="s">
        <v>44</v>
      </c>
      <c r="Q440" s="5" t="s">
        <v>1142</v>
      </c>
      <c r="R440" s="5">
        <v>272.73599999999999</v>
      </c>
      <c r="S440" s="5">
        <v>3</v>
      </c>
      <c r="T440" s="5">
        <v>0.2</v>
      </c>
      <c r="U440" s="5">
        <v>654.56639999999993</v>
      </c>
      <c r="V440" s="7">
        <v>-64.774800000000013</v>
      </c>
    </row>
    <row r="441" spans="1:22" ht="15.5" x14ac:dyDescent="0.35">
      <c r="A441" s="8">
        <v>742</v>
      </c>
      <c r="B441" s="9" t="s">
        <v>1648</v>
      </c>
      <c r="C441" s="10">
        <v>43104</v>
      </c>
      <c r="D441" s="10">
        <v>43108</v>
      </c>
      <c r="E441" s="9" t="s">
        <v>36</v>
      </c>
      <c r="F441" s="9" t="s">
        <v>1649</v>
      </c>
      <c r="G441" s="9" t="s">
        <v>1650</v>
      </c>
      <c r="H441" s="9" t="s">
        <v>76</v>
      </c>
      <c r="I441" s="9" t="s">
        <v>27</v>
      </c>
      <c r="J441" s="9" t="s">
        <v>1651</v>
      </c>
      <c r="K441" s="9" t="s">
        <v>275</v>
      </c>
      <c r="L441" s="9">
        <v>60540</v>
      </c>
      <c r="M441" s="9" t="s">
        <v>79</v>
      </c>
      <c r="N441" s="9" t="s">
        <v>1654</v>
      </c>
      <c r="O441" s="9" t="s">
        <v>32</v>
      </c>
      <c r="P441" s="9" t="s">
        <v>53</v>
      </c>
      <c r="Q441" s="9" t="s">
        <v>1655</v>
      </c>
      <c r="R441" s="9">
        <v>3.5399999999999991</v>
      </c>
      <c r="S441" s="9">
        <v>2</v>
      </c>
      <c r="T441" s="9">
        <v>0.8</v>
      </c>
      <c r="U441" s="9">
        <v>1.4159999999999995</v>
      </c>
      <c r="V441" s="11">
        <v>-5.4870000000000001</v>
      </c>
    </row>
    <row r="442" spans="1:22" ht="15.5" x14ac:dyDescent="0.35">
      <c r="A442" s="4">
        <v>743</v>
      </c>
      <c r="B442" s="5" t="s">
        <v>1656</v>
      </c>
      <c r="C442" s="6">
        <v>44070</v>
      </c>
      <c r="D442" s="6">
        <v>44075</v>
      </c>
      <c r="E442" s="5" t="s">
        <v>36</v>
      </c>
      <c r="F442" s="5" t="s">
        <v>1657</v>
      </c>
      <c r="G442" s="5" t="s">
        <v>1658</v>
      </c>
      <c r="H442" s="5" t="s">
        <v>39</v>
      </c>
      <c r="I442" s="5" t="s">
        <v>27</v>
      </c>
      <c r="J442" s="5" t="s">
        <v>593</v>
      </c>
      <c r="K442" s="5" t="s">
        <v>78</v>
      </c>
      <c r="L442" s="5">
        <v>75220</v>
      </c>
      <c r="M442" s="5" t="s">
        <v>79</v>
      </c>
      <c r="N442" s="5" t="s">
        <v>1356</v>
      </c>
      <c r="O442" s="5" t="s">
        <v>32</v>
      </c>
      <c r="P442" s="5" t="s">
        <v>414</v>
      </c>
      <c r="Q442" s="5" t="s">
        <v>1357</v>
      </c>
      <c r="R442" s="5">
        <v>51.52000000000001</v>
      </c>
      <c r="S442" s="5">
        <v>5</v>
      </c>
      <c r="T442" s="5">
        <v>0.2</v>
      </c>
      <c r="U442" s="5">
        <v>206.08</v>
      </c>
      <c r="V442" s="7">
        <v>-10.948000000000002</v>
      </c>
    </row>
    <row r="443" spans="1:22" ht="15.5" x14ac:dyDescent="0.35">
      <c r="A443" s="8">
        <v>744</v>
      </c>
      <c r="B443" s="9" t="s">
        <v>1656</v>
      </c>
      <c r="C443" s="10">
        <v>44070</v>
      </c>
      <c r="D443" s="10">
        <v>44075</v>
      </c>
      <c r="E443" s="9" t="s">
        <v>36</v>
      </c>
      <c r="F443" s="9" t="s">
        <v>1657</v>
      </c>
      <c r="G443" s="9" t="s">
        <v>1658</v>
      </c>
      <c r="H443" s="9" t="s">
        <v>39</v>
      </c>
      <c r="I443" s="9" t="s">
        <v>27</v>
      </c>
      <c r="J443" s="9" t="s">
        <v>593</v>
      </c>
      <c r="K443" s="9" t="s">
        <v>78</v>
      </c>
      <c r="L443" s="9">
        <v>75220</v>
      </c>
      <c r="M443" s="9" t="s">
        <v>79</v>
      </c>
      <c r="N443" s="9" t="s">
        <v>721</v>
      </c>
      <c r="O443" s="9" t="s">
        <v>32</v>
      </c>
      <c r="P443" s="9" t="s">
        <v>64</v>
      </c>
      <c r="Q443" s="9" t="s">
        <v>722</v>
      </c>
      <c r="R443" s="9">
        <v>3.5280000000000005</v>
      </c>
      <c r="S443" s="9">
        <v>1</v>
      </c>
      <c r="T443" s="9">
        <v>0.2</v>
      </c>
      <c r="U443" s="9">
        <v>2.8224000000000005</v>
      </c>
      <c r="V443" s="11">
        <v>1.1465999999999998</v>
      </c>
    </row>
    <row r="444" spans="1:22" ht="15.5" x14ac:dyDescent="0.35">
      <c r="A444" s="4">
        <v>745</v>
      </c>
      <c r="B444" s="5" t="s">
        <v>1656</v>
      </c>
      <c r="C444" s="6">
        <v>44070</v>
      </c>
      <c r="D444" s="6">
        <v>44075</v>
      </c>
      <c r="E444" s="5" t="s">
        <v>36</v>
      </c>
      <c r="F444" s="5" t="s">
        <v>1657</v>
      </c>
      <c r="G444" s="5" t="s">
        <v>1658</v>
      </c>
      <c r="H444" s="5" t="s">
        <v>39</v>
      </c>
      <c r="I444" s="5" t="s">
        <v>27</v>
      </c>
      <c r="J444" s="5" t="s">
        <v>593</v>
      </c>
      <c r="K444" s="5" t="s">
        <v>78</v>
      </c>
      <c r="L444" s="5">
        <v>75220</v>
      </c>
      <c r="M444" s="5" t="s">
        <v>79</v>
      </c>
      <c r="N444" s="5" t="s">
        <v>1659</v>
      </c>
      <c r="O444" s="5" t="s">
        <v>32</v>
      </c>
      <c r="P444" s="5" t="s">
        <v>64</v>
      </c>
      <c r="Q444" s="5" t="s">
        <v>1660</v>
      </c>
      <c r="R444" s="5">
        <v>4.6240000000000006</v>
      </c>
      <c r="S444" s="5">
        <v>1</v>
      </c>
      <c r="T444" s="5">
        <v>0.2</v>
      </c>
      <c r="U444" s="5">
        <v>3.6992000000000003</v>
      </c>
      <c r="V444" s="7">
        <v>1.6762000000000001</v>
      </c>
    </row>
    <row r="445" spans="1:22" ht="15.5" x14ac:dyDescent="0.35">
      <c r="A445" s="8">
        <v>746</v>
      </c>
      <c r="B445" s="9" t="s">
        <v>1656</v>
      </c>
      <c r="C445" s="10">
        <v>44070</v>
      </c>
      <c r="D445" s="10">
        <v>44075</v>
      </c>
      <c r="E445" s="9" t="s">
        <v>36</v>
      </c>
      <c r="F445" s="9" t="s">
        <v>1657</v>
      </c>
      <c r="G445" s="9" t="s">
        <v>1658</v>
      </c>
      <c r="H445" s="9" t="s">
        <v>39</v>
      </c>
      <c r="I445" s="9" t="s">
        <v>27</v>
      </c>
      <c r="J445" s="9" t="s">
        <v>593</v>
      </c>
      <c r="K445" s="9" t="s">
        <v>78</v>
      </c>
      <c r="L445" s="9">
        <v>75220</v>
      </c>
      <c r="M445" s="9" t="s">
        <v>79</v>
      </c>
      <c r="N445" s="9" t="s">
        <v>1661</v>
      </c>
      <c r="O445" s="9" t="s">
        <v>32</v>
      </c>
      <c r="P445" s="9" t="s">
        <v>414</v>
      </c>
      <c r="Q445" s="9" t="s">
        <v>1662</v>
      </c>
      <c r="R445" s="9">
        <v>55.167999999999999</v>
      </c>
      <c r="S445" s="9">
        <v>4</v>
      </c>
      <c r="T445" s="9">
        <v>0.2</v>
      </c>
      <c r="U445" s="9">
        <v>176.5376</v>
      </c>
      <c r="V445" s="11">
        <v>6.2063999999999897</v>
      </c>
    </row>
    <row r="446" spans="1:22" ht="15.5" x14ac:dyDescent="0.35">
      <c r="A446" s="4">
        <v>748</v>
      </c>
      <c r="B446" s="5" t="s">
        <v>1663</v>
      </c>
      <c r="C446" s="6">
        <v>43247</v>
      </c>
      <c r="D446" s="6">
        <v>43247</v>
      </c>
      <c r="E446" s="5" t="s">
        <v>908</v>
      </c>
      <c r="F446" s="5" t="s">
        <v>1133</v>
      </c>
      <c r="G446" s="5" t="s">
        <v>1134</v>
      </c>
      <c r="H446" s="5" t="s">
        <v>26</v>
      </c>
      <c r="I446" s="5" t="s">
        <v>27</v>
      </c>
      <c r="J446" s="5" t="s">
        <v>664</v>
      </c>
      <c r="K446" s="5" t="s">
        <v>29</v>
      </c>
      <c r="L446" s="5">
        <v>92105</v>
      </c>
      <c r="M446" s="5" t="s">
        <v>30</v>
      </c>
      <c r="N446" s="5" t="s">
        <v>1171</v>
      </c>
      <c r="O446" s="5" t="s">
        <v>32</v>
      </c>
      <c r="P446" s="5" t="s">
        <v>44</v>
      </c>
      <c r="Q446" s="5" t="s">
        <v>1172</v>
      </c>
      <c r="R446" s="5">
        <v>359.32</v>
      </c>
      <c r="S446" s="5">
        <v>4</v>
      </c>
      <c r="T446" s="5">
        <v>0</v>
      </c>
      <c r="U446" s="5">
        <v>1437.28</v>
      </c>
      <c r="V446" s="7">
        <v>7.1863999999999919</v>
      </c>
    </row>
    <row r="447" spans="1:22" ht="15.5" x14ac:dyDescent="0.35">
      <c r="A447" s="8">
        <v>750</v>
      </c>
      <c r="B447" s="9" t="s">
        <v>1664</v>
      </c>
      <c r="C447" s="10">
        <v>44471</v>
      </c>
      <c r="D447" s="10">
        <v>44475</v>
      </c>
      <c r="E447" s="9" t="s">
        <v>36</v>
      </c>
      <c r="F447" s="9" t="s">
        <v>1665</v>
      </c>
      <c r="G447" s="9" t="s">
        <v>1666</v>
      </c>
      <c r="H447" s="9" t="s">
        <v>39</v>
      </c>
      <c r="I447" s="9" t="s">
        <v>27</v>
      </c>
      <c r="J447" s="9" t="s">
        <v>1667</v>
      </c>
      <c r="K447" s="9" t="s">
        <v>171</v>
      </c>
      <c r="L447" s="9">
        <v>48183</v>
      </c>
      <c r="M447" s="9" t="s">
        <v>79</v>
      </c>
      <c r="N447" s="9" t="s">
        <v>1668</v>
      </c>
      <c r="O447" s="9" t="s">
        <v>32</v>
      </c>
      <c r="P447" s="9" t="s">
        <v>53</v>
      </c>
      <c r="Q447" s="9" t="s">
        <v>1669</v>
      </c>
      <c r="R447" s="9">
        <v>58.050000000000004</v>
      </c>
      <c r="S447" s="9">
        <v>3</v>
      </c>
      <c r="T447" s="9">
        <v>0</v>
      </c>
      <c r="U447" s="9">
        <v>174.15</v>
      </c>
      <c r="V447" s="11">
        <v>26.702999999999999</v>
      </c>
    </row>
    <row r="448" spans="1:22" ht="15.5" x14ac:dyDescent="0.35">
      <c r="A448" s="4">
        <v>752</v>
      </c>
      <c r="B448" s="5" t="s">
        <v>1664</v>
      </c>
      <c r="C448" s="6">
        <v>44471</v>
      </c>
      <c r="D448" s="6">
        <v>44475</v>
      </c>
      <c r="E448" s="5" t="s">
        <v>36</v>
      </c>
      <c r="F448" s="5" t="s">
        <v>1665</v>
      </c>
      <c r="G448" s="5" t="s">
        <v>1666</v>
      </c>
      <c r="H448" s="5" t="s">
        <v>39</v>
      </c>
      <c r="I448" s="5" t="s">
        <v>27</v>
      </c>
      <c r="J448" s="5" t="s">
        <v>1667</v>
      </c>
      <c r="K448" s="5" t="s">
        <v>171</v>
      </c>
      <c r="L448" s="5">
        <v>48183</v>
      </c>
      <c r="M448" s="5" t="s">
        <v>79</v>
      </c>
      <c r="N448" s="5" t="s">
        <v>1003</v>
      </c>
      <c r="O448" s="5" t="s">
        <v>32</v>
      </c>
      <c r="P448" s="5" t="s">
        <v>50</v>
      </c>
      <c r="Q448" s="5" t="s">
        <v>1004</v>
      </c>
      <c r="R448" s="5">
        <v>56.980000000000004</v>
      </c>
      <c r="S448" s="5">
        <v>7</v>
      </c>
      <c r="T448" s="5">
        <v>0</v>
      </c>
      <c r="U448" s="5">
        <v>398.86</v>
      </c>
      <c r="V448" s="7">
        <v>22.792000000000002</v>
      </c>
    </row>
    <row r="449" spans="1:22" ht="15.5" x14ac:dyDescent="0.35">
      <c r="A449" s="8">
        <v>753</v>
      </c>
      <c r="B449" s="9" t="s">
        <v>1664</v>
      </c>
      <c r="C449" s="10">
        <v>44471</v>
      </c>
      <c r="D449" s="10">
        <v>44475</v>
      </c>
      <c r="E449" s="9" t="s">
        <v>36</v>
      </c>
      <c r="F449" s="9" t="s">
        <v>1665</v>
      </c>
      <c r="G449" s="9" t="s">
        <v>1666</v>
      </c>
      <c r="H449" s="9" t="s">
        <v>39</v>
      </c>
      <c r="I449" s="9" t="s">
        <v>27</v>
      </c>
      <c r="J449" s="9" t="s">
        <v>1667</v>
      </c>
      <c r="K449" s="9" t="s">
        <v>171</v>
      </c>
      <c r="L449" s="9">
        <v>48183</v>
      </c>
      <c r="M449" s="9" t="s">
        <v>79</v>
      </c>
      <c r="N449" s="9" t="s">
        <v>1670</v>
      </c>
      <c r="O449" s="9" t="s">
        <v>32</v>
      </c>
      <c r="P449" s="9" t="s">
        <v>53</v>
      </c>
      <c r="Q449" s="9" t="s">
        <v>1671</v>
      </c>
      <c r="R449" s="9">
        <v>2.88</v>
      </c>
      <c r="S449" s="9">
        <v>1</v>
      </c>
      <c r="T449" s="9">
        <v>0</v>
      </c>
      <c r="U449" s="9">
        <v>2.88</v>
      </c>
      <c r="V449" s="11">
        <v>1.4112</v>
      </c>
    </row>
    <row r="450" spans="1:22" ht="15.5" x14ac:dyDescent="0.35">
      <c r="A450" s="4">
        <v>757</v>
      </c>
      <c r="B450" s="5" t="s">
        <v>1672</v>
      </c>
      <c r="C450" s="6">
        <v>43463</v>
      </c>
      <c r="D450" s="6">
        <v>43467</v>
      </c>
      <c r="E450" s="5" t="s">
        <v>36</v>
      </c>
      <c r="F450" s="5" t="s">
        <v>1673</v>
      </c>
      <c r="G450" s="5" t="s">
        <v>1674</v>
      </c>
      <c r="H450" s="5" t="s">
        <v>39</v>
      </c>
      <c r="I450" s="5" t="s">
        <v>27</v>
      </c>
      <c r="J450" s="5" t="s">
        <v>1675</v>
      </c>
      <c r="K450" s="5" t="s">
        <v>164</v>
      </c>
      <c r="L450" s="5">
        <v>55016</v>
      </c>
      <c r="M450" s="5" t="s">
        <v>79</v>
      </c>
      <c r="N450" s="5" t="s">
        <v>1564</v>
      </c>
      <c r="O450" s="5" t="s">
        <v>32</v>
      </c>
      <c r="P450" s="5" t="s">
        <v>44</v>
      </c>
      <c r="Q450" s="5" t="s">
        <v>1565</v>
      </c>
      <c r="R450" s="5">
        <v>24.56</v>
      </c>
      <c r="S450" s="5">
        <v>2</v>
      </c>
      <c r="T450" s="5">
        <v>0</v>
      </c>
      <c r="U450" s="5">
        <v>49.12</v>
      </c>
      <c r="V450" s="7">
        <v>6.8767999999999994</v>
      </c>
    </row>
    <row r="451" spans="1:22" ht="15.5" x14ac:dyDescent="0.35">
      <c r="A451" s="8">
        <v>759</v>
      </c>
      <c r="B451" s="9" t="s">
        <v>1676</v>
      </c>
      <c r="C451" s="10">
        <v>44400</v>
      </c>
      <c r="D451" s="10">
        <v>44405</v>
      </c>
      <c r="E451" s="9" t="s">
        <v>36</v>
      </c>
      <c r="F451" s="9" t="s">
        <v>1677</v>
      </c>
      <c r="G451" s="9" t="s">
        <v>1678</v>
      </c>
      <c r="H451" s="9" t="s">
        <v>26</v>
      </c>
      <c r="I451" s="9" t="s">
        <v>27</v>
      </c>
      <c r="J451" s="9" t="s">
        <v>186</v>
      </c>
      <c r="K451" s="9" t="s">
        <v>187</v>
      </c>
      <c r="L451" s="9">
        <v>10009</v>
      </c>
      <c r="M451" s="9" t="s">
        <v>125</v>
      </c>
      <c r="N451" s="9" t="s">
        <v>1405</v>
      </c>
      <c r="O451" s="9" t="s">
        <v>32</v>
      </c>
      <c r="P451" s="9" t="s">
        <v>53</v>
      </c>
      <c r="Q451" s="9" t="s">
        <v>1406</v>
      </c>
      <c r="R451" s="9">
        <v>13.128</v>
      </c>
      <c r="S451" s="9">
        <v>3</v>
      </c>
      <c r="T451" s="9">
        <v>0.2</v>
      </c>
      <c r="U451" s="9">
        <v>31.507200000000001</v>
      </c>
      <c r="V451" s="11">
        <v>4.2665999999999986</v>
      </c>
    </row>
    <row r="452" spans="1:22" ht="15.5" x14ac:dyDescent="0.35">
      <c r="A452" s="4">
        <v>760</v>
      </c>
      <c r="B452" s="5" t="s">
        <v>1679</v>
      </c>
      <c r="C452" s="6">
        <v>44457</v>
      </c>
      <c r="D452" s="6">
        <v>44461</v>
      </c>
      <c r="E452" s="5" t="s">
        <v>36</v>
      </c>
      <c r="F452" s="5" t="s">
        <v>1680</v>
      </c>
      <c r="G452" s="5" t="s">
        <v>1681</v>
      </c>
      <c r="H452" s="5" t="s">
        <v>26</v>
      </c>
      <c r="I452" s="5" t="s">
        <v>27</v>
      </c>
      <c r="J452" s="5" t="s">
        <v>1682</v>
      </c>
      <c r="K452" s="5" t="s">
        <v>88</v>
      </c>
      <c r="L452" s="5">
        <v>54302</v>
      </c>
      <c r="M452" s="5" t="s">
        <v>79</v>
      </c>
      <c r="N452" s="5" t="s">
        <v>395</v>
      </c>
      <c r="O452" s="5" t="s">
        <v>32</v>
      </c>
      <c r="P452" s="5" t="s">
        <v>64</v>
      </c>
      <c r="Q452" s="5" t="s">
        <v>1524</v>
      </c>
      <c r="R452" s="5">
        <v>22.72</v>
      </c>
      <c r="S452" s="5">
        <v>4</v>
      </c>
      <c r="T452" s="5">
        <v>0</v>
      </c>
      <c r="U452" s="5">
        <v>90.88</v>
      </c>
      <c r="V452" s="7">
        <v>10.223999999999998</v>
      </c>
    </row>
    <row r="453" spans="1:22" ht="15.5" x14ac:dyDescent="0.35">
      <c r="A453" s="8">
        <v>761</v>
      </c>
      <c r="B453" s="9" t="s">
        <v>1683</v>
      </c>
      <c r="C453" s="10">
        <v>43708</v>
      </c>
      <c r="D453" s="10">
        <v>43713</v>
      </c>
      <c r="E453" s="9" t="s">
        <v>36</v>
      </c>
      <c r="F453" s="9" t="s">
        <v>1403</v>
      </c>
      <c r="G453" s="9" t="s">
        <v>1404</v>
      </c>
      <c r="H453" s="9" t="s">
        <v>39</v>
      </c>
      <c r="I453" s="9" t="s">
        <v>27</v>
      </c>
      <c r="J453" s="9" t="s">
        <v>28</v>
      </c>
      <c r="K453" s="9" t="s">
        <v>29</v>
      </c>
      <c r="L453" s="9">
        <v>90004</v>
      </c>
      <c r="M453" s="9" t="s">
        <v>30</v>
      </c>
      <c r="N453" s="9" t="s">
        <v>1308</v>
      </c>
      <c r="O453" s="9" t="s">
        <v>32</v>
      </c>
      <c r="P453" s="9" t="s">
        <v>64</v>
      </c>
      <c r="Q453" s="9" t="s">
        <v>1309</v>
      </c>
      <c r="R453" s="9">
        <v>58.320000000000007</v>
      </c>
      <c r="S453" s="9">
        <v>9</v>
      </c>
      <c r="T453" s="9">
        <v>0</v>
      </c>
      <c r="U453" s="9">
        <v>524.88000000000011</v>
      </c>
      <c r="V453" s="11">
        <v>27.993600000000001</v>
      </c>
    </row>
    <row r="454" spans="1:22" ht="15.5" x14ac:dyDescent="0.35">
      <c r="A454" s="4">
        <v>762</v>
      </c>
      <c r="B454" s="5" t="s">
        <v>1684</v>
      </c>
      <c r="C454" s="6">
        <v>44503</v>
      </c>
      <c r="D454" s="6">
        <v>44507</v>
      </c>
      <c r="E454" s="5" t="s">
        <v>36</v>
      </c>
      <c r="F454" s="5" t="s">
        <v>266</v>
      </c>
      <c r="G454" s="5" t="s">
        <v>267</v>
      </c>
      <c r="H454" s="5" t="s">
        <v>26</v>
      </c>
      <c r="I454" s="5" t="s">
        <v>27</v>
      </c>
      <c r="J454" s="5" t="s">
        <v>1204</v>
      </c>
      <c r="K454" s="5" t="s">
        <v>894</v>
      </c>
      <c r="L454" s="5">
        <v>30318</v>
      </c>
      <c r="M454" s="5" t="s">
        <v>42</v>
      </c>
      <c r="N454" s="5" t="s">
        <v>1685</v>
      </c>
      <c r="O454" s="5" t="s">
        <v>32</v>
      </c>
      <c r="P454" s="5" t="s">
        <v>33</v>
      </c>
      <c r="Q454" s="5" t="s">
        <v>1686</v>
      </c>
      <c r="R454" s="5">
        <v>12.39</v>
      </c>
      <c r="S454" s="5">
        <v>3</v>
      </c>
      <c r="T454" s="5">
        <v>0</v>
      </c>
      <c r="U454" s="5">
        <v>37.17</v>
      </c>
      <c r="V454" s="7">
        <v>5.6993999999999998</v>
      </c>
    </row>
    <row r="455" spans="1:22" ht="15.5" x14ac:dyDescent="0.35">
      <c r="A455" s="8">
        <v>764</v>
      </c>
      <c r="B455" s="9" t="s">
        <v>1687</v>
      </c>
      <c r="C455" s="10">
        <v>43113</v>
      </c>
      <c r="D455" s="10">
        <v>43115</v>
      </c>
      <c r="E455" s="9" t="s">
        <v>23</v>
      </c>
      <c r="F455" s="9" t="s">
        <v>1688</v>
      </c>
      <c r="G455" s="9" t="s">
        <v>1689</v>
      </c>
      <c r="H455" s="9" t="s">
        <v>26</v>
      </c>
      <c r="I455" s="9" t="s">
        <v>27</v>
      </c>
      <c r="J455" s="9" t="s">
        <v>1690</v>
      </c>
      <c r="K455" s="9" t="s">
        <v>1691</v>
      </c>
      <c r="L455" s="9">
        <v>71111</v>
      </c>
      <c r="M455" s="9" t="s">
        <v>42</v>
      </c>
      <c r="N455" s="9" t="s">
        <v>480</v>
      </c>
      <c r="O455" s="9" t="s">
        <v>32</v>
      </c>
      <c r="P455" s="9" t="s">
        <v>129</v>
      </c>
      <c r="Q455" s="9" t="s">
        <v>481</v>
      </c>
      <c r="R455" s="9">
        <v>11.36</v>
      </c>
      <c r="S455" s="9">
        <v>2</v>
      </c>
      <c r="T455" s="9">
        <v>0</v>
      </c>
      <c r="U455" s="9">
        <v>22.72</v>
      </c>
      <c r="V455" s="11">
        <v>5.3391999999999991</v>
      </c>
    </row>
    <row r="456" spans="1:22" ht="15.5" x14ac:dyDescent="0.35">
      <c r="A456" s="4">
        <v>765</v>
      </c>
      <c r="B456" s="5" t="s">
        <v>1687</v>
      </c>
      <c r="C456" s="6">
        <v>43113</v>
      </c>
      <c r="D456" s="6">
        <v>43115</v>
      </c>
      <c r="E456" s="5" t="s">
        <v>23</v>
      </c>
      <c r="F456" s="5" t="s">
        <v>1688</v>
      </c>
      <c r="G456" s="5" t="s">
        <v>1689</v>
      </c>
      <c r="H456" s="5" t="s">
        <v>26</v>
      </c>
      <c r="I456" s="5" t="s">
        <v>27</v>
      </c>
      <c r="J456" s="5" t="s">
        <v>1690</v>
      </c>
      <c r="K456" s="5" t="s">
        <v>1691</v>
      </c>
      <c r="L456" s="5">
        <v>71111</v>
      </c>
      <c r="M456" s="5" t="s">
        <v>42</v>
      </c>
      <c r="N456" s="5" t="s">
        <v>1692</v>
      </c>
      <c r="O456" s="5" t="s">
        <v>32</v>
      </c>
      <c r="P456" s="5" t="s">
        <v>129</v>
      </c>
      <c r="Q456" s="5" t="s">
        <v>1693</v>
      </c>
      <c r="R456" s="5">
        <v>50.94</v>
      </c>
      <c r="S456" s="5">
        <v>3</v>
      </c>
      <c r="T456" s="5">
        <v>0</v>
      </c>
      <c r="U456" s="5">
        <v>152.82</v>
      </c>
      <c r="V456" s="7">
        <v>25.47</v>
      </c>
    </row>
    <row r="457" spans="1:22" ht="15.5" x14ac:dyDescent="0.35">
      <c r="A457" s="8">
        <v>767</v>
      </c>
      <c r="B457" s="9" t="s">
        <v>1687</v>
      </c>
      <c r="C457" s="10">
        <v>43113</v>
      </c>
      <c r="D457" s="10">
        <v>43115</v>
      </c>
      <c r="E457" s="9" t="s">
        <v>23</v>
      </c>
      <c r="F457" s="9" t="s">
        <v>1688</v>
      </c>
      <c r="G457" s="9" t="s">
        <v>1689</v>
      </c>
      <c r="H457" s="9" t="s">
        <v>26</v>
      </c>
      <c r="I457" s="9" t="s">
        <v>27</v>
      </c>
      <c r="J457" s="9" t="s">
        <v>1690</v>
      </c>
      <c r="K457" s="9" t="s">
        <v>1691</v>
      </c>
      <c r="L457" s="9">
        <v>71111</v>
      </c>
      <c r="M457" s="9" t="s">
        <v>42</v>
      </c>
      <c r="N457" s="9" t="s">
        <v>1694</v>
      </c>
      <c r="O457" s="9" t="s">
        <v>32</v>
      </c>
      <c r="P457" s="9" t="s">
        <v>53</v>
      </c>
      <c r="Q457" s="9" t="s">
        <v>1695</v>
      </c>
      <c r="R457" s="9">
        <v>5.64</v>
      </c>
      <c r="S457" s="9">
        <v>3</v>
      </c>
      <c r="T457" s="9">
        <v>0</v>
      </c>
      <c r="U457" s="9">
        <v>16.919999999999998</v>
      </c>
      <c r="V457" s="11">
        <v>2.7071999999999994</v>
      </c>
    </row>
    <row r="458" spans="1:22" ht="15.5" x14ac:dyDescent="0.35">
      <c r="A458" s="4">
        <v>768</v>
      </c>
      <c r="B458" s="5" t="s">
        <v>1687</v>
      </c>
      <c r="C458" s="6">
        <v>43113</v>
      </c>
      <c r="D458" s="6">
        <v>43115</v>
      </c>
      <c r="E458" s="5" t="s">
        <v>23</v>
      </c>
      <c r="F458" s="5" t="s">
        <v>1688</v>
      </c>
      <c r="G458" s="5" t="s">
        <v>1689</v>
      </c>
      <c r="H458" s="5" t="s">
        <v>26</v>
      </c>
      <c r="I458" s="5" t="s">
        <v>27</v>
      </c>
      <c r="J458" s="5" t="s">
        <v>1690</v>
      </c>
      <c r="K458" s="5" t="s">
        <v>1691</v>
      </c>
      <c r="L458" s="5">
        <v>71111</v>
      </c>
      <c r="M458" s="5" t="s">
        <v>42</v>
      </c>
      <c r="N458" s="5" t="s">
        <v>1696</v>
      </c>
      <c r="O458" s="5" t="s">
        <v>32</v>
      </c>
      <c r="P458" s="5" t="s">
        <v>44</v>
      </c>
      <c r="Q458" s="5" t="s">
        <v>1697</v>
      </c>
      <c r="R458" s="5">
        <v>572.58000000000004</v>
      </c>
      <c r="S458" s="5">
        <v>6</v>
      </c>
      <c r="T458" s="5">
        <v>0</v>
      </c>
      <c r="U458" s="5">
        <v>3435.4800000000005</v>
      </c>
      <c r="V458" s="7">
        <v>34.354799999999955</v>
      </c>
    </row>
    <row r="459" spans="1:22" ht="15.5" x14ac:dyDescent="0.35">
      <c r="A459" s="8">
        <v>771</v>
      </c>
      <c r="B459" s="9" t="s">
        <v>1698</v>
      </c>
      <c r="C459" s="10">
        <v>44226</v>
      </c>
      <c r="D459" s="10">
        <v>44232</v>
      </c>
      <c r="E459" s="9" t="s">
        <v>36</v>
      </c>
      <c r="F459" s="9" t="s">
        <v>1699</v>
      </c>
      <c r="G459" s="9" t="s">
        <v>1700</v>
      </c>
      <c r="H459" s="9" t="s">
        <v>26</v>
      </c>
      <c r="I459" s="9" t="s">
        <v>27</v>
      </c>
      <c r="J459" s="9" t="s">
        <v>1701</v>
      </c>
      <c r="K459" s="9" t="s">
        <v>351</v>
      </c>
      <c r="L459" s="9">
        <v>50315</v>
      </c>
      <c r="M459" s="9" t="s">
        <v>79</v>
      </c>
      <c r="N459" s="9" t="s">
        <v>1702</v>
      </c>
      <c r="O459" s="9" t="s">
        <v>32</v>
      </c>
      <c r="P459" s="9" t="s">
        <v>53</v>
      </c>
      <c r="Q459" s="9" t="s">
        <v>1703</v>
      </c>
      <c r="R459" s="9">
        <v>18.28</v>
      </c>
      <c r="S459" s="9">
        <v>2</v>
      </c>
      <c r="T459" s="9">
        <v>0</v>
      </c>
      <c r="U459" s="9">
        <v>36.56</v>
      </c>
      <c r="V459" s="11">
        <v>9.14</v>
      </c>
    </row>
    <row r="460" spans="1:22" ht="15.5" x14ac:dyDescent="0.35">
      <c r="A460" s="4">
        <v>773</v>
      </c>
      <c r="B460" s="5" t="s">
        <v>1698</v>
      </c>
      <c r="C460" s="6">
        <v>44226</v>
      </c>
      <c r="D460" s="6">
        <v>44232</v>
      </c>
      <c r="E460" s="5" t="s">
        <v>36</v>
      </c>
      <c r="F460" s="5" t="s">
        <v>1699</v>
      </c>
      <c r="G460" s="5" t="s">
        <v>1700</v>
      </c>
      <c r="H460" s="5" t="s">
        <v>26</v>
      </c>
      <c r="I460" s="5" t="s">
        <v>27</v>
      </c>
      <c r="J460" s="5" t="s">
        <v>1701</v>
      </c>
      <c r="K460" s="5" t="s">
        <v>351</v>
      </c>
      <c r="L460" s="5">
        <v>50315</v>
      </c>
      <c r="M460" s="5" t="s">
        <v>79</v>
      </c>
      <c r="N460" s="5" t="s">
        <v>1704</v>
      </c>
      <c r="O460" s="5" t="s">
        <v>32</v>
      </c>
      <c r="P460" s="5" t="s">
        <v>53</v>
      </c>
      <c r="Q460" s="5" t="s">
        <v>1705</v>
      </c>
      <c r="R460" s="5">
        <v>32.35</v>
      </c>
      <c r="S460" s="5">
        <v>5</v>
      </c>
      <c r="T460" s="5">
        <v>0</v>
      </c>
      <c r="U460" s="5">
        <v>161.75</v>
      </c>
      <c r="V460" s="7">
        <v>16.175000000000001</v>
      </c>
    </row>
    <row r="461" spans="1:22" ht="15.5" x14ac:dyDescent="0.35">
      <c r="A461" s="8">
        <v>774</v>
      </c>
      <c r="B461" s="9" t="s">
        <v>1698</v>
      </c>
      <c r="C461" s="10">
        <v>44226</v>
      </c>
      <c r="D461" s="10">
        <v>44232</v>
      </c>
      <c r="E461" s="9" t="s">
        <v>36</v>
      </c>
      <c r="F461" s="9" t="s">
        <v>1699</v>
      </c>
      <c r="G461" s="9" t="s">
        <v>1700</v>
      </c>
      <c r="H461" s="9" t="s">
        <v>26</v>
      </c>
      <c r="I461" s="9" t="s">
        <v>27</v>
      </c>
      <c r="J461" s="9" t="s">
        <v>1701</v>
      </c>
      <c r="K461" s="9" t="s">
        <v>351</v>
      </c>
      <c r="L461" s="9">
        <v>50315</v>
      </c>
      <c r="M461" s="9" t="s">
        <v>79</v>
      </c>
      <c r="N461" s="9" t="s">
        <v>52</v>
      </c>
      <c r="O461" s="9" t="s">
        <v>32</v>
      </c>
      <c r="P461" s="9" t="s">
        <v>53</v>
      </c>
      <c r="Q461" s="9" t="s">
        <v>54</v>
      </c>
      <c r="R461" s="9">
        <v>7.71</v>
      </c>
      <c r="S461" s="9">
        <v>1</v>
      </c>
      <c r="T461" s="9">
        <v>0</v>
      </c>
      <c r="U461" s="9">
        <v>7.71</v>
      </c>
      <c r="V461" s="11">
        <v>3.4695</v>
      </c>
    </row>
    <row r="462" spans="1:22" ht="15.5" x14ac:dyDescent="0.35">
      <c r="A462" s="4">
        <v>775</v>
      </c>
      <c r="B462" s="5" t="s">
        <v>1698</v>
      </c>
      <c r="C462" s="6">
        <v>44226</v>
      </c>
      <c r="D462" s="6">
        <v>44232</v>
      </c>
      <c r="E462" s="5" t="s">
        <v>36</v>
      </c>
      <c r="F462" s="5" t="s">
        <v>1699</v>
      </c>
      <c r="G462" s="5" t="s">
        <v>1700</v>
      </c>
      <c r="H462" s="5" t="s">
        <v>26</v>
      </c>
      <c r="I462" s="5" t="s">
        <v>27</v>
      </c>
      <c r="J462" s="5" t="s">
        <v>1701</v>
      </c>
      <c r="K462" s="5" t="s">
        <v>351</v>
      </c>
      <c r="L462" s="5">
        <v>50315</v>
      </c>
      <c r="M462" s="5" t="s">
        <v>79</v>
      </c>
      <c r="N462" s="5" t="s">
        <v>1706</v>
      </c>
      <c r="O462" s="5" t="s">
        <v>32</v>
      </c>
      <c r="P462" s="5" t="s">
        <v>50</v>
      </c>
      <c r="Q462" s="5" t="s">
        <v>1707</v>
      </c>
      <c r="R462" s="5">
        <v>40.299999999999997</v>
      </c>
      <c r="S462" s="5">
        <v>2</v>
      </c>
      <c r="T462" s="5">
        <v>0</v>
      </c>
      <c r="U462" s="5">
        <v>80.599999999999994</v>
      </c>
      <c r="V462" s="7">
        <v>10.881</v>
      </c>
    </row>
    <row r="463" spans="1:22" ht="15.5" x14ac:dyDescent="0.35">
      <c r="A463" s="8">
        <v>777</v>
      </c>
      <c r="B463" s="9" t="s">
        <v>1708</v>
      </c>
      <c r="C463" s="10">
        <v>43280</v>
      </c>
      <c r="D463" s="10">
        <v>43287</v>
      </c>
      <c r="E463" s="9" t="s">
        <v>36</v>
      </c>
      <c r="F463" s="9" t="s">
        <v>1709</v>
      </c>
      <c r="G463" s="9" t="s">
        <v>1710</v>
      </c>
      <c r="H463" s="9" t="s">
        <v>39</v>
      </c>
      <c r="I463" s="9" t="s">
        <v>27</v>
      </c>
      <c r="J463" s="9" t="s">
        <v>704</v>
      </c>
      <c r="K463" s="9" t="s">
        <v>360</v>
      </c>
      <c r="L463" s="9">
        <v>45231</v>
      </c>
      <c r="M463" s="9" t="s">
        <v>125</v>
      </c>
      <c r="N463" s="9" t="s">
        <v>1711</v>
      </c>
      <c r="O463" s="9" t="s">
        <v>32</v>
      </c>
      <c r="P463" s="9" t="s">
        <v>50</v>
      </c>
      <c r="Q463" s="9" t="s">
        <v>1712</v>
      </c>
      <c r="R463" s="9">
        <v>32.76</v>
      </c>
      <c r="S463" s="9">
        <v>7</v>
      </c>
      <c r="T463" s="9">
        <v>0.2</v>
      </c>
      <c r="U463" s="9">
        <v>183.45599999999999</v>
      </c>
      <c r="V463" s="11">
        <v>3.6854999999999958</v>
      </c>
    </row>
    <row r="464" spans="1:22" ht="15.5" x14ac:dyDescent="0.35">
      <c r="A464" s="4">
        <v>779</v>
      </c>
      <c r="B464" s="5" t="s">
        <v>1713</v>
      </c>
      <c r="C464" s="6">
        <v>43698</v>
      </c>
      <c r="D464" s="6">
        <v>43700</v>
      </c>
      <c r="E464" s="5" t="s">
        <v>160</v>
      </c>
      <c r="F464" s="5" t="s">
        <v>752</v>
      </c>
      <c r="G464" s="5" t="s">
        <v>753</v>
      </c>
      <c r="H464" s="5" t="s">
        <v>76</v>
      </c>
      <c r="I464" s="5" t="s">
        <v>27</v>
      </c>
      <c r="J464" s="5" t="s">
        <v>101</v>
      </c>
      <c r="K464" s="5" t="s">
        <v>29</v>
      </c>
      <c r="L464" s="5">
        <v>94110</v>
      </c>
      <c r="M464" s="5" t="s">
        <v>30</v>
      </c>
      <c r="N464" s="5" t="s">
        <v>1023</v>
      </c>
      <c r="O464" s="5" t="s">
        <v>32</v>
      </c>
      <c r="P464" s="5" t="s">
        <v>64</v>
      </c>
      <c r="Q464" s="5" t="s">
        <v>1024</v>
      </c>
      <c r="R464" s="5">
        <v>59.94</v>
      </c>
      <c r="S464" s="5">
        <v>3</v>
      </c>
      <c r="T464" s="5">
        <v>0</v>
      </c>
      <c r="U464" s="5">
        <v>179.82</v>
      </c>
      <c r="V464" s="7">
        <v>28.171799999999998</v>
      </c>
    </row>
    <row r="465" spans="1:22" ht="15.5" x14ac:dyDescent="0.35">
      <c r="A465" s="8">
        <v>780</v>
      </c>
      <c r="B465" s="9" t="s">
        <v>1713</v>
      </c>
      <c r="C465" s="10">
        <v>43698</v>
      </c>
      <c r="D465" s="10">
        <v>43700</v>
      </c>
      <c r="E465" s="9" t="s">
        <v>160</v>
      </c>
      <c r="F465" s="9" t="s">
        <v>752</v>
      </c>
      <c r="G465" s="9" t="s">
        <v>753</v>
      </c>
      <c r="H465" s="9" t="s">
        <v>76</v>
      </c>
      <c r="I465" s="9" t="s">
        <v>27</v>
      </c>
      <c r="J465" s="9" t="s">
        <v>101</v>
      </c>
      <c r="K465" s="9" t="s">
        <v>29</v>
      </c>
      <c r="L465" s="9">
        <v>94110</v>
      </c>
      <c r="M465" s="9" t="s">
        <v>30</v>
      </c>
      <c r="N465" s="9" t="s">
        <v>1000</v>
      </c>
      <c r="O465" s="9" t="s">
        <v>32</v>
      </c>
      <c r="P465" s="9" t="s">
        <v>64</v>
      </c>
      <c r="Q465" s="9" t="s">
        <v>1001</v>
      </c>
      <c r="R465" s="9">
        <v>23.92</v>
      </c>
      <c r="S465" s="9">
        <v>4</v>
      </c>
      <c r="T465" s="9">
        <v>0</v>
      </c>
      <c r="U465" s="9">
        <v>95.68</v>
      </c>
      <c r="V465" s="11">
        <v>11.720800000000001</v>
      </c>
    </row>
    <row r="466" spans="1:22" ht="15.5" x14ac:dyDescent="0.35">
      <c r="A466" s="4">
        <v>781</v>
      </c>
      <c r="B466" s="5" t="s">
        <v>1713</v>
      </c>
      <c r="C466" s="6">
        <v>43698</v>
      </c>
      <c r="D466" s="6">
        <v>43700</v>
      </c>
      <c r="E466" s="5" t="s">
        <v>160</v>
      </c>
      <c r="F466" s="5" t="s">
        <v>752</v>
      </c>
      <c r="G466" s="5" t="s">
        <v>753</v>
      </c>
      <c r="H466" s="5" t="s">
        <v>76</v>
      </c>
      <c r="I466" s="5" t="s">
        <v>27</v>
      </c>
      <c r="J466" s="5" t="s">
        <v>101</v>
      </c>
      <c r="K466" s="5" t="s">
        <v>29</v>
      </c>
      <c r="L466" s="5">
        <v>94110</v>
      </c>
      <c r="M466" s="5" t="s">
        <v>30</v>
      </c>
      <c r="N466" s="5" t="s">
        <v>1714</v>
      </c>
      <c r="O466" s="5" t="s">
        <v>32</v>
      </c>
      <c r="P466" s="5" t="s">
        <v>64</v>
      </c>
      <c r="Q466" s="5" t="s">
        <v>1715</v>
      </c>
      <c r="R466" s="5">
        <v>4.28</v>
      </c>
      <c r="S466" s="5">
        <v>1</v>
      </c>
      <c r="T466" s="5">
        <v>0</v>
      </c>
      <c r="U466" s="5">
        <v>4.28</v>
      </c>
      <c r="V466" s="7">
        <v>1.9259999999999997</v>
      </c>
    </row>
    <row r="467" spans="1:22" ht="15.5" x14ac:dyDescent="0.35">
      <c r="A467" s="8">
        <v>782</v>
      </c>
      <c r="B467" s="9" t="s">
        <v>1716</v>
      </c>
      <c r="C467" s="10">
        <v>43741</v>
      </c>
      <c r="D467" s="10">
        <v>43744</v>
      </c>
      <c r="E467" s="9" t="s">
        <v>23</v>
      </c>
      <c r="F467" s="9" t="s">
        <v>1717</v>
      </c>
      <c r="G467" s="9" t="s">
        <v>1718</v>
      </c>
      <c r="H467" s="9" t="s">
        <v>39</v>
      </c>
      <c r="I467" s="9" t="s">
        <v>27</v>
      </c>
      <c r="J467" s="9" t="s">
        <v>359</v>
      </c>
      <c r="K467" s="9" t="s">
        <v>360</v>
      </c>
      <c r="L467" s="9">
        <v>43229</v>
      </c>
      <c r="M467" s="9" t="s">
        <v>125</v>
      </c>
      <c r="N467" s="9" t="s">
        <v>1118</v>
      </c>
      <c r="O467" s="9" t="s">
        <v>32</v>
      </c>
      <c r="P467" s="9" t="s">
        <v>53</v>
      </c>
      <c r="Q467" s="9" t="s">
        <v>1119</v>
      </c>
      <c r="R467" s="9">
        <v>32.07</v>
      </c>
      <c r="S467" s="9">
        <v>5</v>
      </c>
      <c r="T467" s="9">
        <v>0.7</v>
      </c>
      <c r="U467" s="9">
        <v>48.105000000000004</v>
      </c>
      <c r="V467" s="11">
        <v>-22.448999999999991</v>
      </c>
    </row>
    <row r="468" spans="1:22" ht="15.5" x14ac:dyDescent="0.35">
      <c r="A468" s="4">
        <v>786</v>
      </c>
      <c r="B468" s="5" t="s">
        <v>1719</v>
      </c>
      <c r="C468" s="6">
        <v>43608</v>
      </c>
      <c r="D468" s="6">
        <v>43613</v>
      </c>
      <c r="E468" s="5" t="s">
        <v>36</v>
      </c>
      <c r="F468" s="5" t="s">
        <v>634</v>
      </c>
      <c r="G468" s="5" t="s">
        <v>635</v>
      </c>
      <c r="H468" s="5" t="s">
        <v>26</v>
      </c>
      <c r="I468" s="5" t="s">
        <v>27</v>
      </c>
      <c r="J468" s="5" t="s">
        <v>1720</v>
      </c>
      <c r="K468" s="5" t="s">
        <v>1721</v>
      </c>
      <c r="L468" s="5">
        <v>29203</v>
      </c>
      <c r="M468" s="5" t="s">
        <v>42</v>
      </c>
      <c r="N468" s="5" t="s">
        <v>1722</v>
      </c>
      <c r="O468" s="5" t="s">
        <v>32</v>
      </c>
      <c r="P468" s="5" t="s">
        <v>129</v>
      </c>
      <c r="Q468" s="5" t="s">
        <v>1723</v>
      </c>
      <c r="R468" s="5">
        <v>186.69</v>
      </c>
      <c r="S468" s="5">
        <v>3</v>
      </c>
      <c r="T468" s="5">
        <v>0</v>
      </c>
      <c r="U468" s="5">
        <v>560.06999999999994</v>
      </c>
      <c r="V468" s="7">
        <v>87.744299999999981</v>
      </c>
    </row>
    <row r="469" spans="1:22" ht="15.5" x14ac:dyDescent="0.35">
      <c r="A469" s="8">
        <v>787</v>
      </c>
      <c r="B469" s="9" t="s">
        <v>1724</v>
      </c>
      <c r="C469" s="10">
        <v>44272</v>
      </c>
      <c r="D469" s="10">
        <v>44276</v>
      </c>
      <c r="E469" s="9" t="s">
        <v>23</v>
      </c>
      <c r="F469" s="9" t="s">
        <v>348</v>
      </c>
      <c r="G469" s="9" t="s">
        <v>349</v>
      </c>
      <c r="H469" s="9" t="s">
        <v>39</v>
      </c>
      <c r="I469" s="9" t="s">
        <v>27</v>
      </c>
      <c r="J469" s="9" t="s">
        <v>1725</v>
      </c>
      <c r="K469" s="9" t="s">
        <v>29</v>
      </c>
      <c r="L469" s="9">
        <v>93534</v>
      </c>
      <c r="M469" s="9" t="s">
        <v>30</v>
      </c>
      <c r="N469" s="9" t="s">
        <v>1726</v>
      </c>
      <c r="O469" s="9" t="s">
        <v>32</v>
      </c>
      <c r="P469" s="9" t="s">
        <v>53</v>
      </c>
      <c r="Q469" s="9" t="s">
        <v>1727</v>
      </c>
      <c r="R469" s="9">
        <v>17.456</v>
      </c>
      <c r="S469" s="9">
        <v>2</v>
      </c>
      <c r="T469" s="9">
        <v>0.2</v>
      </c>
      <c r="U469" s="9">
        <v>27.929600000000001</v>
      </c>
      <c r="V469" s="11">
        <v>5.8914</v>
      </c>
    </row>
    <row r="470" spans="1:22" ht="15.5" x14ac:dyDescent="0.35">
      <c r="A470" s="4">
        <v>789</v>
      </c>
      <c r="B470" s="5" t="s">
        <v>1728</v>
      </c>
      <c r="C470" s="6">
        <v>43642</v>
      </c>
      <c r="D470" s="6">
        <v>43646</v>
      </c>
      <c r="E470" s="5" t="s">
        <v>36</v>
      </c>
      <c r="F470" s="5" t="s">
        <v>1729</v>
      </c>
      <c r="G470" s="5" t="s">
        <v>1730</v>
      </c>
      <c r="H470" s="5" t="s">
        <v>39</v>
      </c>
      <c r="I470" s="5" t="s">
        <v>27</v>
      </c>
      <c r="J470" s="5" t="s">
        <v>1032</v>
      </c>
      <c r="K470" s="5" t="s">
        <v>223</v>
      </c>
      <c r="L470" s="5">
        <v>23223</v>
      </c>
      <c r="M470" s="5" t="s">
        <v>42</v>
      </c>
      <c r="N470" s="5" t="s">
        <v>1049</v>
      </c>
      <c r="O470" s="5" t="s">
        <v>32</v>
      </c>
      <c r="P470" s="5" t="s">
        <v>53</v>
      </c>
      <c r="Q470" s="5" t="s">
        <v>1050</v>
      </c>
      <c r="R470" s="5">
        <v>143.96</v>
      </c>
      <c r="S470" s="5">
        <v>4</v>
      </c>
      <c r="T470" s="5">
        <v>0</v>
      </c>
      <c r="U470" s="5">
        <v>575.84</v>
      </c>
      <c r="V470" s="7">
        <v>69.100800000000007</v>
      </c>
    </row>
    <row r="471" spans="1:22" ht="15.5" x14ac:dyDescent="0.35">
      <c r="A471" s="8">
        <v>790</v>
      </c>
      <c r="B471" s="9" t="s">
        <v>1728</v>
      </c>
      <c r="C471" s="10">
        <v>43642</v>
      </c>
      <c r="D471" s="10">
        <v>43646</v>
      </c>
      <c r="E471" s="9" t="s">
        <v>36</v>
      </c>
      <c r="F471" s="9" t="s">
        <v>1729</v>
      </c>
      <c r="G471" s="9" t="s">
        <v>1730</v>
      </c>
      <c r="H471" s="9" t="s">
        <v>39</v>
      </c>
      <c r="I471" s="9" t="s">
        <v>27</v>
      </c>
      <c r="J471" s="9" t="s">
        <v>1032</v>
      </c>
      <c r="K471" s="9" t="s">
        <v>223</v>
      </c>
      <c r="L471" s="9">
        <v>23223</v>
      </c>
      <c r="M471" s="9" t="s">
        <v>42</v>
      </c>
      <c r="N471" s="9" t="s">
        <v>1143</v>
      </c>
      <c r="O471" s="9" t="s">
        <v>32</v>
      </c>
      <c r="P471" s="9" t="s">
        <v>44</v>
      </c>
      <c r="Q471" s="9" t="s">
        <v>1144</v>
      </c>
      <c r="R471" s="9">
        <v>15.42</v>
      </c>
      <c r="S471" s="9">
        <v>1</v>
      </c>
      <c r="T471" s="9">
        <v>0</v>
      </c>
      <c r="U471" s="9">
        <v>15.42</v>
      </c>
      <c r="V471" s="11">
        <v>4.1634000000000011</v>
      </c>
    </row>
    <row r="472" spans="1:22" ht="15.5" x14ac:dyDescent="0.35">
      <c r="A472" s="4">
        <v>791</v>
      </c>
      <c r="B472" s="5" t="s">
        <v>1728</v>
      </c>
      <c r="C472" s="6">
        <v>43642</v>
      </c>
      <c r="D472" s="6">
        <v>43646</v>
      </c>
      <c r="E472" s="5" t="s">
        <v>36</v>
      </c>
      <c r="F472" s="5" t="s">
        <v>1729</v>
      </c>
      <c r="G472" s="5" t="s">
        <v>1730</v>
      </c>
      <c r="H472" s="5" t="s">
        <v>39</v>
      </c>
      <c r="I472" s="5" t="s">
        <v>27</v>
      </c>
      <c r="J472" s="5" t="s">
        <v>1032</v>
      </c>
      <c r="K472" s="5" t="s">
        <v>223</v>
      </c>
      <c r="L472" s="5">
        <v>23223</v>
      </c>
      <c r="M472" s="5" t="s">
        <v>42</v>
      </c>
      <c r="N472" s="5" t="s">
        <v>1731</v>
      </c>
      <c r="O472" s="5" t="s">
        <v>32</v>
      </c>
      <c r="P472" s="5" t="s">
        <v>53</v>
      </c>
      <c r="Q472" s="5" t="s">
        <v>1732</v>
      </c>
      <c r="R472" s="5">
        <v>43.04</v>
      </c>
      <c r="S472" s="5">
        <v>8</v>
      </c>
      <c r="T472" s="5">
        <v>0</v>
      </c>
      <c r="U472" s="5">
        <v>344.32</v>
      </c>
      <c r="V472" s="7">
        <v>21.089600000000001</v>
      </c>
    </row>
    <row r="473" spans="1:22" ht="15.5" x14ac:dyDescent="0.35">
      <c r="A473" s="8">
        <v>794</v>
      </c>
      <c r="B473" s="9" t="s">
        <v>1733</v>
      </c>
      <c r="C473" s="10">
        <v>43363</v>
      </c>
      <c r="D473" s="10">
        <v>43369</v>
      </c>
      <c r="E473" s="9" t="s">
        <v>36</v>
      </c>
      <c r="F473" s="9" t="s">
        <v>1734</v>
      </c>
      <c r="G473" s="9" t="s">
        <v>1735</v>
      </c>
      <c r="H473" s="9" t="s">
        <v>39</v>
      </c>
      <c r="I473" s="9" t="s">
        <v>27</v>
      </c>
      <c r="J473" s="9" t="s">
        <v>101</v>
      </c>
      <c r="K473" s="9" t="s">
        <v>29</v>
      </c>
      <c r="L473" s="9">
        <v>94110</v>
      </c>
      <c r="M473" s="9" t="s">
        <v>30</v>
      </c>
      <c r="N473" s="9" t="s">
        <v>1736</v>
      </c>
      <c r="O473" s="9" t="s">
        <v>32</v>
      </c>
      <c r="P473" s="9" t="s">
        <v>33</v>
      </c>
      <c r="Q473" s="9" t="s">
        <v>1737</v>
      </c>
      <c r="R473" s="9">
        <v>9.9600000000000009</v>
      </c>
      <c r="S473" s="9">
        <v>2</v>
      </c>
      <c r="T473" s="9">
        <v>0</v>
      </c>
      <c r="U473" s="9">
        <v>19.920000000000002</v>
      </c>
      <c r="V473" s="11">
        <v>4.5815999999999999</v>
      </c>
    </row>
    <row r="474" spans="1:22" ht="15.5" x14ac:dyDescent="0.35">
      <c r="A474" s="4">
        <v>795</v>
      </c>
      <c r="B474" s="5" t="s">
        <v>1733</v>
      </c>
      <c r="C474" s="6">
        <v>43363</v>
      </c>
      <c r="D474" s="6">
        <v>43369</v>
      </c>
      <c r="E474" s="5" t="s">
        <v>36</v>
      </c>
      <c r="F474" s="5" t="s">
        <v>1734</v>
      </c>
      <c r="G474" s="5" t="s">
        <v>1735</v>
      </c>
      <c r="H474" s="5" t="s">
        <v>39</v>
      </c>
      <c r="I474" s="5" t="s">
        <v>27</v>
      </c>
      <c r="J474" s="5" t="s">
        <v>101</v>
      </c>
      <c r="K474" s="5" t="s">
        <v>29</v>
      </c>
      <c r="L474" s="5">
        <v>94110</v>
      </c>
      <c r="M474" s="5" t="s">
        <v>30</v>
      </c>
      <c r="N474" s="5" t="s">
        <v>1013</v>
      </c>
      <c r="O474" s="5" t="s">
        <v>32</v>
      </c>
      <c r="P474" s="5" t="s">
        <v>64</v>
      </c>
      <c r="Q474" s="5" t="s">
        <v>1014</v>
      </c>
      <c r="R474" s="5">
        <v>21.72</v>
      </c>
      <c r="S474" s="5">
        <v>4</v>
      </c>
      <c r="T474" s="5">
        <v>0</v>
      </c>
      <c r="U474" s="5">
        <v>86.88</v>
      </c>
      <c r="V474" s="7">
        <v>10.642799999999999</v>
      </c>
    </row>
    <row r="475" spans="1:22" ht="15.5" x14ac:dyDescent="0.35">
      <c r="A475" s="8">
        <v>796</v>
      </c>
      <c r="B475" s="9" t="s">
        <v>1738</v>
      </c>
      <c r="C475" s="10">
        <v>44460</v>
      </c>
      <c r="D475" s="10">
        <v>44465</v>
      </c>
      <c r="E475" s="9" t="s">
        <v>36</v>
      </c>
      <c r="F475" s="9" t="s">
        <v>1739</v>
      </c>
      <c r="G475" s="9" t="s">
        <v>1740</v>
      </c>
      <c r="H475" s="9" t="s">
        <v>39</v>
      </c>
      <c r="I475" s="9" t="s">
        <v>27</v>
      </c>
      <c r="J475" s="9" t="s">
        <v>281</v>
      </c>
      <c r="K475" s="9" t="s">
        <v>164</v>
      </c>
      <c r="L475" s="9">
        <v>55901</v>
      </c>
      <c r="M475" s="9" t="s">
        <v>79</v>
      </c>
      <c r="N475" s="9" t="s">
        <v>1670</v>
      </c>
      <c r="O475" s="9" t="s">
        <v>32</v>
      </c>
      <c r="P475" s="9" t="s">
        <v>53</v>
      </c>
      <c r="Q475" s="9" t="s">
        <v>1671</v>
      </c>
      <c r="R475" s="9">
        <v>20.16</v>
      </c>
      <c r="S475" s="9">
        <v>7</v>
      </c>
      <c r="T475" s="9">
        <v>0</v>
      </c>
      <c r="U475" s="9">
        <v>141.12</v>
      </c>
      <c r="V475" s="11">
        <v>9.8783999999999992</v>
      </c>
    </row>
    <row r="476" spans="1:22" ht="15.5" x14ac:dyDescent="0.35">
      <c r="A476" s="4">
        <v>797</v>
      </c>
      <c r="B476" s="5" t="s">
        <v>1741</v>
      </c>
      <c r="C476" s="6">
        <v>43823</v>
      </c>
      <c r="D476" s="6">
        <v>43825</v>
      </c>
      <c r="E476" s="5" t="s">
        <v>160</v>
      </c>
      <c r="F476" s="5" t="s">
        <v>641</v>
      </c>
      <c r="G476" s="5" t="s">
        <v>642</v>
      </c>
      <c r="H476" s="5" t="s">
        <v>26</v>
      </c>
      <c r="I476" s="5" t="s">
        <v>27</v>
      </c>
      <c r="J476" s="5" t="s">
        <v>281</v>
      </c>
      <c r="K476" s="5" t="s">
        <v>187</v>
      </c>
      <c r="L476" s="5">
        <v>14609</v>
      </c>
      <c r="M476" s="5" t="s">
        <v>125</v>
      </c>
      <c r="N476" s="5" t="s">
        <v>1742</v>
      </c>
      <c r="O476" s="5" t="s">
        <v>32</v>
      </c>
      <c r="P476" s="5" t="s">
        <v>64</v>
      </c>
      <c r="Q476" s="5" t="s">
        <v>1743</v>
      </c>
      <c r="R476" s="5">
        <v>132.79</v>
      </c>
      <c r="S476" s="5">
        <v>7</v>
      </c>
      <c r="T476" s="5">
        <v>0</v>
      </c>
      <c r="U476" s="5">
        <v>929.53</v>
      </c>
      <c r="V476" s="7">
        <v>63.739199999999997</v>
      </c>
    </row>
    <row r="477" spans="1:22" ht="15.5" x14ac:dyDescent="0.35">
      <c r="A477" s="8">
        <v>798</v>
      </c>
      <c r="B477" s="9" t="s">
        <v>1741</v>
      </c>
      <c r="C477" s="10">
        <v>43823</v>
      </c>
      <c r="D477" s="10">
        <v>43825</v>
      </c>
      <c r="E477" s="9" t="s">
        <v>160</v>
      </c>
      <c r="F477" s="9" t="s">
        <v>641</v>
      </c>
      <c r="G477" s="9" t="s">
        <v>642</v>
      </c>
      <c r="H477" s="9" t="s">
        <v>26</v>
      </c>
      <c r="I477" s="9" t="s">
        <v>27</v>
      </c>
      <c r="J477" s="9" t="s">
        <v>281</v>
      </c>
      <c r="K477" s="9" t="s">
        <v>187</v>
      </c>
      <c r="L477" s="9">
        <v>14609</v>
      </c>
      <c r="M477" s="9" t="s">
        <v>125</v>
      </c>
      <c r="N477" s="9" t="s">
        <v>63</v>
      </c>
      <c r="O477" s="9" t="s">
        <v>32</v>
      </c>
      <c r="P477" s="9" t="s">
        <v>64</v>
      </c>
      <c r="Q477" s="9" t="s">
        <v>65</v>
      </c>
      <c r="R477" s="9">
        <v>12.96</v>
      </c>
      <c r="S477" s="9">
        <v>2</v>
      </c>
      <c r="T477" s="9">
        <v>0</v>
      </c>
      <c r="U477" s="9">
        <v>25.92</v>
      </c>
      <c r="V477" s="11">
        <v>6.2208000000000006</v>
      </c>
    </row>
    <row r="478" spans="1:22" ht="15.5" x14ac:dyDescent="0.35">
      <c r="A478" s="4">
        <v>799</v>
      </c>
      <c r="B478" s="5" t="s">
        <v>1741</v>
      </c>
      <c r="C478" s="6">
        <v>43823</v>
      </c>
      <c r="D478" s="6">
        <v>43825</v>
      </c>
      <c r="E478" s="5" t="s">
        <v>160</v>
      </c>
      <c r="F478" s="5" t="s">
        <v>641</v>
      </c>
      <c r="G478" s="5" t="s">
        <v>642</v>
      </c>
      <c r="H478" s="5" t="s">
        <v>26</v>
      </c>
      <c r="I478" s="5" t="s">
        <v>27</v>
      </c>
      <c r="J478" s="5" t="s">
        <v>281</v>
      </c>
      <c r="K478" s="5" t="s">
        <v>187</v>
      </c>
      <c r="L478" s="5">
        <v>14609</v>
      </c>
      <c r="M478" s="5" t="s">
        <v>125</v>
      </c>
      <c r="N478" s="5" t="s">
        <v>1744</v>
      </c>
      <c r="O478" s="5" t="s">
        <v>32</v>
      </c>
      <c r="P478" s="5" t="s">
        <v>33</v>
      </c>
      <c r="Q478" s="5" t="s">
        <v>1745</v>
      </c>
      <c r="R478" s="5">
        <v>21.560000000000002</v>
      </c>
      <c r="S478" s="5">
        <v>7</v>
      </c>
      <c r="T478" s="5">
        <v>0</v>
      </c>
      <c r="U478" s="5">
        <v>150.92000000000002</v>
      </c>
      <c r="V478" s="7">
        <v>10.348799999999999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4DB0-1F87-4851-B28C-191013021858}">
  <dimension ref="A1:AG313"/>
  <sheetViews>
    <sheetView topLeftCell="B32" zoomScale="55" workbookViewId="0">
      <selection activeCell="N52" sqref="N52"/>
    </sheetView>
  </sheetViews>
  <sheetFormatPr defaultRowHeight="14.5" x14ac:dyDescent="0.35"/>
  <cols>
    <col min="1" max="1" width="14.1796875" bestFit="1" customWidth="1"/>
    <col min="2" max="2" width="14.36328125" bestFit="1" customWidth="1"/>
    <col min="3" max="3" width="14.6328125" bestFit="1" customWidth="1"/>
    <col min="4" max="4" width="11.81640625" bestFit="1" customWidth="1"/>
    <col min="5" max="5" width="11.81640625" customWidth="1"/>
    <col min="6" max="6" width="16.453125" bestFit="1" customWidth="1"/>
    <col min="7" max="7" width="11.26953125" bestFit="1" customWidth="1"/>
    <col min="8" max="8" width="14.6328125" bestFit="1" customWidth="1"/>
    <col min="9" max="9" width="11.81640625" bestFit="1" customWidth="1"/>
    <col min="11" max="11" width="15" bestFit="1" customWidth="1"/>
    <col min="12" max="12" width="11.6328125" bestFit="1" customWidth="1"/>
    <col min="13" max="13" width="11.81640625" bestFit="1" customWidth="1"/>
    <col min="14" max="14" width="14" customWidth="1"/>
    <col min="18" max="18" width="16.453125" bestFit="1" customWidth="1"/>
    <col min="19" max="19" width="11.6328125" bestFit="1" customWidth="1"/>
    <col min="27" max="27" width="12.1796875" customWidth="1"/>
    <col min="28" max="28" width="13.90625" bestFit="1" customWidth="1"/>
    <col min="29" max="29" width="11.26953125" bestFit="1" customWidth="1"/>
    <col min="31" max="31" width="14.08984375" bestFit="1" customWidth="1"/>
    <col min="32" max="32" width="11.6328125" bestFit="1" customWidth="1"/>
    <col min="34" max="34" width="13.36328125" customWidth="1"/>
  </cols>
  <sheetData>
    <row r="1" spans="1:31" x14ac:dyDescent="0.35">
      <c r="F1" t="s">
        <v>1774</v>
      </c>
      <c r="K1" t="s">
        <v>1776</v>
      </c>
      <c r="W1" s="19" t="s">
        <v>1746</v>
      </c>
      <c r="X1" t="s">
        <v>1747</v>
      </c>
      <c r="AA1" s="19" t="s">
        <v>1746</v>
      </c>
      <c r="AB1" t="s">
        <v>1747</v>
      </c>
      <c r="AC1" t="s">
        <v>1777</v>
      </c>
    </row>
    <row r="2" spans="1:31" x14ac:dyDescent="0.35">
      <c r="F2" s="19" t="s">
        <v>1748</v>
      </c>
      <c r="G2" t="s">
        <v>1749</v>
      </c>
      <c r="W2" s="13" t="s">
        <v>1203</v>
      </c>
      <c r="X2" s="22">
        <v>6412.7699999999995</v>
      </c>
      <c r="AA2" s="13" t="s">
        <v>186</v>
      </c>
      <c r="AB2">
        <v>7630.8919999999989</v>
      </c>
      <c r="AD2" s="12" t="s">
        <v>1746</v>
      </c>
      <c r="AE2" s="12" t="s">
        <v>1747</v>
      </c>
    </row>
    <row r="3" spans="1:31" x14ac:dyDescent="0.35">
      <c r="A3" s="19" t="s">
        <v>1750</v>
      </c>
      <c r="B3" t="s">
        <v>1751</v>
      </c>
      <c r="C3" t="s">
        <v>1747</v>
      </c>
      <c r="D3" t="s">
        <v>1752</v>
      </c>
      <c r="E3" s="14"/>
      <c r="K3" s="19" t="s">
        <v>1746</v>
      </c>
      <c r="L3" s="19" t="s">
        <v>1751</v>
      </c>
      <c r="M3" t="s">
        <v>1747</v>
      </c>
      <c r="O3" s="13"/>
      <c r="W3" s="13" t="s">
        <v>872</v>
      </c>
      <c r="X3" s="22">
        <v>4431.8960000000006</v>
      </c>
      <c r="AA3" s="13" t="s">
        <v>1204</v>
      </c>
      <c r="AB3">
        <v>6425.16</v>
      </c>
      <c r="AD3" s="13" t="s">
        <v>186</v>
      </c>
      <c r="AE3">
        <v>7630.8919999999989</v>
      </c>
    </row>
    <row r="4" spans="1:31" x14ac:dyDescent="0.35">
      <c r="A4">
        <v>1833</v>
      </c>
      <c r="B4">
        <v>240491.89990000022</v>
      </c>
      <c r="C4">
        <v>55724.018999999986</v>
      </c>
      <c r="D4">
        <v>9839.3413999999866</v>
      </c>
      <c r="F4" s="19" t="s">
        <v>1746</v>
      </c>
      <c r="G4" s="19" t="s">
        <v>1747</v>
      </c>
      <c r="H4" t="s">
        <v>1751</v>
      </c>
      <c r="K4" s="13" t="s">
        <v>253</v>
      </c>
      <c r="L4">
        <v>372.13</v>
      </c>
      <c r="M4">
        <v>247.65</v>
      </c>
      <c r="O4" s="13"/>
      <c r="W4" s="13" t="s">
        <v>768</v>
      </c>
      <c r="X4" s="22">
        <v>1744.8880000000001</v>
      </c>
      <c r="AA4" s="13" t="s">
        <v>101</v>
      </c>
      <c r="AB4">
        <v>2283.6360000000004</v>
      </c>
      <c r="AD4" s="13" t="s">
        <v>1204</v>
      </c>
      <c r="AE4">
        <v>6425.16</v>
      </c>
    </row>
    <row r="5" spans="1:31" x14ac:dyDescent="0.35">
      <c r="F5" s="13" t="s">
        <v>1753</v>
      </c>
      <c r="G5">
        <v>2704.0940000000005</v>
      </c>
      <c r="H5">
        <v>9735.4651999999987</v>
      </c>
      <c r="K5" s="13" t="s">
        <v>216</v>
      </c>
      <c r="L5">
        <v>9808.3171000000002</v>
      </c>
      <c r="M5">
        <v>1905.329</v>
      </c>
      <c r="O5" s="13"/>
      <c r="W5" s="13" t="s">
        <v>653</v>
      </c>
      <c r="X5" s="22">
        <v>1743.77</v>
      </c>
      <c r="AA5" s="13" t="s">
        <v>123</v>
      </c>
      <c r="AB5">
        <v>1936.45</v>
      </c>
      <c r="AD5" s="13" t="s">
        <v>101</v>
      </c>
      <c r="AE5">
        <v>2283.6360000000004</v>
      </c>
    </row>
    <row r="6" spans="1:31" x14ac:dyDescent="0.35">
      <c r="A6" t="s">
        <v>1772</v>
      </c>
      <c r="F6" s="13" t="s">
        <v>1754</v>
      </c>
      <c r="G6">
        <v>246.57999999999998</v>
      </c>
      <c r="H6">
        <v>720.22959999999989</v>
      </c>
      <c r="K6" s="13" t="s">
        <v>1179</v>
      </c>
      <c r="L6">
        <v>210.84</v>
      </c>
      <c r="M6">
        <v>105.42</v>
      </c>
      <c r="O6" s="13"/>
      <c r="W6" s="13" t="s">
        <v>558</v>
      </c>
      <c r="X6" s="22">
        <v>1739.692</v>
      </c>
      <c r="AA6" s="13" t="s">
        <v>654</v>
      </c>
      <c r="AB6">
        <v>1743.77</v>
      </c>
      <c r="AD6" s="13" t="s">
        <v>123</v>
      </c>
      <c r="AE6">
        <v>1936.45</v>
      </c>
    </row>
    <row r="7" spans="1:31" x14ac:dyDescent="0.35">
      <c r="A7" s="19" t="s">
        <v>1746</v>
      </c>
      <c r="B7" s="19" t="s">
        <v>1747</v>
      </c>
      <c r="C7" t="s">
        <v>1751</v>
      </c>
      <c r="F7" s="13" t="s">
        <v>1755</v>
      </c>
      <c r="G7">
        <v>8527.3510000000024</v>
      </c>
      <c r="H7">
        <v>41400.601499999997</v>
      </c>
      <c r="K7" s="13" t="s">
        <v>29</v>
      </c>
      <c r="L7">
        <v>30137.607999999993</v>
      </c>
      <c r="M7">
        <v>7347.4439999999986</v>
      </c>
      <c r="O7" s="13"/>
      <c r="W7" s="13" t="s">
        <v>1756</v>
      </c>
      <c r="X7" s="22">
        <v>16073.016000000001</v>
      </c>
      <c r="AA7" s="13" t="s">
        <v>793</v>
      </c>
      <c r="AB7">
        <v>1731.126</v>
      </c>
      <c r="AD7" s="13" t="s">
        <v>654</v>
      </c>
      <c r="AE7">
        <v>1743.77</v>
      </c>
    </row>
    <row r="8" spans="1:31" x14ac:dyDescent="0.35">
      <c r="A8" s="13" t="s">
        <v>44</v>
      </c>
      <c r="B8">
        <v>19567.214</v>
      </c>
      <c r="C8">
        <v>88293.996399999989</v>
      </c>
      <c r="F8" s="13" t="s">
        <v>1757</v>
      </c>
      <c r="G8">
        <v>2786.0550000000003</v>
      </c>
      <c r="H8">
        <v>8825.6608999999989</v>
      </c>
      <c r="K8" s="13" t="s">
        <v>338</v>
      </c>
      <c r="L8">
        <v>1268.9591</v>
      </c>
      <c r="M8">
        <v>647.16700000000003</v>
      </c>
      <c r="O8" s="13"/>
      <c r="W8" s="13" t="s">
        <v>1778</v>
      </c>
      <c r="AA8" s="13" t="s">
        <v>359</v>
      </c>
      <c r="AB8">
        <v>1598.0160000000001</v>
      </c>
      <c r="AD8" s="13" t="s">
        <v>793</v>
      </c>
      <c r="AE8">
        <v>1731.126</v>
      </c>
    </row>
    <row r="9" spans="1:31" x14ac:dyDescent="0.35">
      <c r="A9" s="13" t="s">
        <v>53</v>
      </c>
      <c r="B9">
        <v>15747.537</v>
      </c>
      <c r="C9">
        <v>62412.865299999998</v>
      </c>
      <c r="F9" s="13" t="s">
        <v>1758</v>
      </c>
      <c r="G9">
        <v>2022.5999999999997</v>
      </c>
      <c r="H9">
        <v>8809.2448000000004</v>
      </c>
      <c r="K9" s="13" t="s">
        <v>536</v>
      </c>
      <c r="L9">
        <v>855.37000000000012</v>
      </c>
      <c r="M9">
        <v>142.51</v>
      </c>
      <c r="O9" s="13"/>
      <c r="W9" s="12" t="s">
        <v>1746</v>
      </c>
      <c r="X9" s="12" t="s">
        <v>1747</v>
      </c>
      <c r="AA9" s="13" t="s">
        <v>69</v>
      </c>
      <c r="AB9">
        <v>1442.6880000000001</v>
      </c>
      <c r="AD9" s="13" t="s">
        <v>359</v>
      </c>
      <c r="AE9">
        <v>1598.0160000000001</v>
      </c>
    </row>
    <row r="10" spans="1:31" x14ac:dyDescent="0.35">
      <c r="A10" s="13" t="s">
        <v>56</v>
      </c>
      <c r="B10">
        <v>6578.6659999999993</v>
      </c>
      <c r="C10">
        <v>26043.092200000003</v>
      </c>
      <c r="F10" s="13" t="s">
        <v>1759</v>
      </c>
      <c r="G10">
        <v>7313.7540000000008</v>
      </c>
      <c r="H10">
        <v>30647.946800000002</v>
      </c>
      <c r="K10" s="13" t="s">
        <v>379</v>
      </c>
      <c r="L10">
        <v>2517.9</v>
      </c>
      <c r="M10">
        <v>372.41999999999996</v>
      </c>
      <c r="O10" s="13"/>
      <c r="W10" s="13" t="s">
        <v>1203</v>
      </c>
      <c r="X10">
        <v>6412.7699999999995</v>
      </c>
      <c r="AA10" s="13" t="s">
        <v>746</v>
      </c>
      <c r="AB10">
        <v>1410.0660000000003</v>
      </c>
      <c r="AD10" s="13" t="s">
        <v>69</v>
      </c>
      <c r="AE10">
        <v>1442.6880000000001</v>
      </c>
    </row>
    <row r="11" spans="1:31" x14ac:dyDescent="0.35">
      <c r="A11" s="13" t="s">
        <v>64</v>
      </c>
      <c r="B11">
        <v>4871.2179999999989</v>
      </c>
      <c r="C11">
        <v>24131.651599999994</v>
      </c>
      <c r="F11" s="13" t="s">
        <v>1760</v>
      </c>
      <c r="G11">
        <v>1235.5140000000001</v>
      </c>
      <c r="H11">
        <v>3622.9603999999999</v>
      </c>
      <c r="K11" s="13" t="s">
        <v>41</v>
      </c>
      <c r="L11">
        <v>6379.0604000000003</v>
      </c>
      <c r="M11">
        <v>2207.3719999999998</v>
      </c>
      <c r="O11" s="13"/>
      <c r="W11" s="13" t="s">
        <v>872</v>
      </c>
      <c r="X11">
        <v>4431.8960000000006</v>
      </c>
      <c r="AA11" s="13" t="s">
        <v>1295</v>
      </c>
      <c r="AB11">
        <v>1295.78</v>
      </c>
      <c r="AD11" s="13" t="s">
        <v>746</v>
      </c>
      <c r="AE11">
        <v>1410.0660000000003</v>
      </c>
    </row>
    <row r="12" spans="1:31" x14ac:dyDescent="0.35">
      <c r="A12" s="13" t="s">
        <v>50</v>
      </c>
      <c r="B12">
        <v>3212.2660000000014</v>
      </c>
      <c r="C12">
        <v>17720.466800000006</v>
      </c>
      <c r="F12" s="13" t="s">
        <v>1761</v>
      </c>
      <c r="G12">
        <v>3226.8560000000002</v>
      </c>
      <c r="H12">
        <v>19434.9238</v>
      </c>
      <c r="K12" s="13" t="s">
        <v>894</v>
      </c>
      <c r="L12">
        <v>37204.019999999997</v>
      </c>
      <c r="M12">
        <v>7093.7</v>
      </c>
      <c r="O12" s="13"/>
      <c r="W12" s="13" t="s">
        <v>768</v>
      </c>
      <c r="X12">
        <v>1744.8880000000001</v>
      </c>
      <c r="AA12" s="13" t="s">
        <v>1756</v>
      </c>
      <c r="AB12">
        <v>27497.584000000003</v>
      </c>
      <c r="AD12" s="13" t="s">
        <v>1295</v>
      </c>
      <c r="AE12">
        <v>1295.78</v>
      </c>
    </row>
    <row r="13" spans="1:31" x14ac:dyDescent="0.35">
      <c r="A13" s="13" t="s">
        <v>414</v>
      </c>
      <c r="B13">
        <v>2233.3880000000004</v>
      </c>
      <c r="C13">
        <v>6407.9472000000014</v>
      </c>
      <c r="F13" s="13" t="s">
        <v>1762</v>
      </c>
      <c r="G13">
        <v>9606.2179999999989</v>
      </c>
      <c r="H13">
        <v>34468.19479999999</v>
      </c>
      <c r="K13" s="13" t="s">
        <v>275</v>
      </c>
      <c r="L13">
        <v>6621.0992000000006</v>
      </c>
      <c r="M13">
        <v>1740.2840000000001</v>
      </c>
      <c r="O13" s="13"/>
      <c r="W13" s="13" t="s">
        <v>653</v>
      </c>
      <c r="X13">
        <v>1743.77</v>
      </c>
    </row>
    <row r="14" spans="1:31" x14ac:dyDescent="0.35">
      <c r="A14" s="13" t="s">
        <v>129</v>
      </c>
      <c r="B14">
        <v>1868.5340000000003</v>
      </c>
      <c r="C14">
        <v>8200.5420000000013</v>
      </c>
      <c r="F14" s="13" t="s">
        <v>1763</v>
      </c>
      <c r="G14">
        <v>3801.418000000001</v>
      </c>
      <c r="H14">
        <v>20992.825000000001</v>
      </c>
      <c r="K14" s="13" t="s">
        <v>178</v>
      </c>
      <c r="L14">
        <v>1477.82</v>
      </c>
      <c r="M14">
        <v>423.03999999999996</v>
      </c>
      <c r="O14" s="13"/>
      <c r="W14" s="13" t="s">
        <v>558</v>
      </c>
      <c r="X14">
        <v>1739.692</v>
      </c>
    </row>
    <row r="15" spans="1:31" x14ac:dyDescent="0.35">
      <c r="A15" s="13" t="s">
        <v>33</v>
      </c>
      <c r="B15">
        <v>1315.9259999999999</v>
      </c>
      <c r="C15">
        <v>5149.2788</v>
      </c>
      <c r="F15" s="13" t="s">
        <v>1764</v>
      </c>
      <c r="G15">
        <v>4958.0020000000004</v>
      </c>
      <c r="H15">
        <v>23236.2562</v>
      </c>
      <c r="K15" s="13" t="s">
        <v>351</v>
      </c>
      <c r="L15">
        <v>601.98000000000013</v>
      </c>
      <c r="M15">
        <v>201.83999999999997</v>
      </c>
      <c r="O15" s="13"/>
    </row>
    <row r="16" spans="1:31" x14ac:dyDescent="0.35">
      <c r="A16" s="13" t="s">
        <v>189</v>
      </c>
      <c r="B16">
        <v>329.27</v>
      </c>
      <c r="C16">
        <v>2132.0596</v>
      </c>
      <c r="F16" s="13" t="s">
        <v>1765</v>
      </c>
      <c r="G16">
        <v>9295.5769999999975</v>
      </c>
      <c r="H16">
        <v>38597.590900000003</v>
      </c>
      <c r="K16" s="13" t="s">
        <v>1033</v>
      </c>
      <c r="L16">
        <v>1381.61</v>
      </c>
      <c r="M16">
        <v>464.39</v>
      </c>
      <c r="O16" s="13"/>
    </row>
    <row r="17" spans="1:15" x14ac:dyDescent="0.35">
      <c r="A17" s="13" t="s">
        <v>1756</v>
      </c>
      <c r="B17">
        <v>55724.019</v>
      </c>
      <c r="C17">
        <v>240491.89989999996</v>
      </c>
      <c r="F17" s="13" t="s">
        <v>1756</v>
      </c>
      <c r="G17">
        <v>55724.019</v>
      </c>
      <c r="H17">
        <v>240491.89990000002</v>
      </c>
      <c r="K17" s="13" t="s">
        <v>1691</v>
      </c>
      <c r="L17">
        <v>3627.9400000000005</v>
      </c>
      <c r="M17">
        <v>640.52</v>
      </c>
      <c r="O17" s="13"/>
    </row>
    <row r="18" spans="1:15" x14ac:dyDescent="0.35">
      <c r="K18" s="13" t="s">
        <v>867</v>
      </c>
      <c r="L18">
        <v>3878.3200000000006</v>
      </c>
      <c r="M18">
        <v>814.28000000000009</v>
      </c>
      <c r="O18" s="13"/>
    </row>
    <row r="19" spans="1:15" x14ac:dyDescent="0.35">
      <c r="A19" t="s">
        <v>1773</v>
      </c>
      <c r="F19" s="20"/>
      <c r="G19" s="21"/>
      <c r="K19" s="13" t="s">
        <v>171</v>
      </c>
      <c r="L19">
        <v>13335.695</v>
      </c>
      <c r="M19">
        <v>2901.2800000000007</v>
      </c>
      <c r="O19" s="13"/>
    </row>
    <row r="20" spans="1:15" x14ac:dyDescent="0.35">
      <c r="A20" s="19" t="s">
        <v>1746</v>
      </c>
      <c r="B20" t="s">
        <v>1747</v>
      </c>
      <c r="K20" s="13" t="s">
        <v>164</v>
      </c>
      <c r="L20">
        <v>9132.9300000000021</v>
      </c>
      <c r="M20">
        <v>1959.8300000000002</v>
      </c>
      <c r="O20" s="13"/>
    </row>
    <row r="21" spans="1:15" x14ac:dyDescent="0.35">
      <c r="A21" s="13" t="s">
        <v>1211</v>
      </c>
      <c r="B21" s="22">
        <v>6354.95</v>
      </c>
      <c r="K21" s="13" t="s">
        <v>1557</v>
      </c>
      <c r="L21">
        <v>87.56</v>
      </c>
      <c r="M21">
        <v>34.06</v>
      </c>
      <c r="O21" s="13"/>
    </row>
    <row r="22" spans="1:15" x14ac:dyDescent="0.35">
      <c r="A22" s="13" t="s">
        <v>878</v>
      </c>
      <c r="B22" s="22">
        <v>4355.1680000000006</v>
      </c>
      <c r="K22" s="13" t="s">
        <v>429</v>
      </c>
      <c r="L22">
        <v>2518.29</v>
      </c>
      <c r="M22">
        <v>839.43000000000006</v>
      </c>
      <c r="O22" s="13"/>
    </row>
    <row r="23" spans="1:15" x14ac:dyDescent="0.35">
      <c r="A23" s="13" t="s">
        <v>660</v>
      </c>
      <c r="B23" s="22">
        <v>1503.25</v>
      </c>
      <c r="K23" s="13" t="s">
        <v>1224</v>
      </c>
      <c r="L23">
        <v>3556.33</v>
      </c>
      <c r="M23">
        <v>1189.43</v>
      </c>
      <c r="O23" s="13"/>
    </row>
    <row r="24" spans="1:15" x14ac:dyDescent="0.35">
      <c r="A24" s="13" t="s">
        <v>1172</v>
      </c>
      <c r="B24" s="22">
        <v>1455.2459999999999</v>
      </c>
      <c r="K24" s="13" t="s">
        <v>110</v>
      </c>
      <c r="L24">
        <v>558.59999999999991</v>
      </c>
      <c r="M24">
        <v>79.8</v>
      </c>
      <c r="O24" s="13"/>
    </row>
    <row r="25" spans="1:15" x14ac:dyDescent="0.35">
      <c r="A25" s="13" t="s">
        <v>1297</v>
      </c>
      <c r="B25" s="22">
        <v>1295.78</v>
      </c>
      <c r="K25" s="13" t="s">
        <v>974</v>
      </c>
      <c r="L25">
        <v>181.9008</v>
      </c>
      <c r="M25">
        <v>75.792000000000002</v>
      </c>
      <c r="O25" s="13"/>
    </row>
    <row r="26" spans="1:15" x14ac:dyDescent="0.35">
      <c r="A26" s="13" t="s">
        <v>1399</v>
      </c>
      <c r="B26" s="22">
        <v>1142.2080000000001</v>
      </c>
      <c r="K26" s="13" t="s">
        <v>568</v>
      </c>
      <c r="L26">
        <v>11069.11</v>
      </c>
      <c r="M26">
        <v>1581.0500000000002</v>
      </c>
      <c r="O26" s="13"/>
    </row>
    <row r="27" spans="1:15" x14ac:dyDescent="0.35">
      <c r="A27" s="13" t="s">
        <v>1230</v>
      </c>
      <c r="B27" s="22">
        <v>1126.02</v>
      </c>
      <c r="K27" s="13" t="s">
        <v>479</v>
      </c>
      <c r="L27">
        <v>142</v>
      </c>
      <c r="M27">
        <v>28.4</v>
      </c>
      <c r="O27" s="13"/>
    </row>
    <row r="28" spans="1:15" x14ac:dyDescent="0.35">
      <c r="A28" s="13" t="s">
        <v>218</v>
      </c>
      <c r="B28" s="22">
        <v>1113.0240000000001</v>
      </c>
      <c r="K28" s="13" t="s">
        <v>187</v>
      </c>
      <c r="L28">
        <v>41252.238399999995</v>
      </c>
      <c r="M28">
        <v>9649.2319999999963</v>
      </c>
      <c r="O28" s="13"/>
    </row>
    <row r="29" spans="1:15" x14ac:dyDescent="0.35">
      <c r="A29" s="13" t="s">
        <v>773</v>
      </c>
      <c r="B29" s="22">
        <v>1082.48</v>
      </c>
      <c r="K29" s="13" t="s">
        <v>62</v>
      </c>
      <c r="L29">
        <v>2706.2768000000005</v>
      </c>
      <c r="M29">
        <v>886.27600000000029</v>
      </c>
      <c r="O29" s="13"/>
    </row>
    <row r="30" spans="1:15" x14ac:dyDescent="0.35">
      <c r="A30" s="13" t="s">
        <v>750</v>
      </c>
      <c r="B30" s="22">
        <v>961.48000000000013</v>
      </c>
      <c r="K30" s="13" t="s">
        <v>360</v>
      </c>
      <c r="L30">
        <v>8551.491</v>
      </c>
      <c r="M30">
        <v>2222.9800000000005</v>
      </c>
      <c r="O30" s="13"/>
    </row>
    <row r="31" spans="1:15" x14ac:dyDescent="0.35">
      <c r="A31" s="13" t="s">
        <v>1756</v>
      </c>
      <c r="B31" s="22">
        <v>20389.606</v>
      </c>
      <c r="K31" s="13" t="s">
        <v>467</v>
      </c>
      <c r="L31">
        <v>29.24</v>
      </c>
      <c r="M31">
        <v>14.62</v>
      </c>
      <c r="O31" s="13"/>
    </row>
    <row r="32" spans="1:15" x14ac:dyDescent="0.35">
      <c r="K32" s="13" t="s">
        <v>308</v>
      </c>
      <c r="L32">
        <v>816.12670000000003</v>
      </c>
      <c r="M32">
        <v>226.47099999999998</v>
      </c>
      <c r="O32" s="13"/>
    </row>
    <row r="33" spans="1:33" x14ac:dyDescent="0.35">
      <c r="K33" s="13" t="s">
        <v>124</v>
      </c>
      <c r="L33">
        <v>8070.7035999999998</v>
      </c>
      <c r="M33">
        <v>2506.9420000000005</v>
      </c>
      <c r="O33" s="13"/>
    </row>
    <row r="34" spans="1:33" x14ac:dyDescent="0.35">
      <c r="K34" s="13" t="s">
        <v>981</v>
      </c>
      <c r="L34">
        <v>125.84</v>
      </c>
      <c r="M34">
        <v>62.92</v>
      </c>
      <c r="O34" s="13"/>
    </row>
    <row r="35" spans="1:33" x14ac:dyDescent="0.35">
      <c r="A35" t="s">
        <v>1775</v>
      </c>
      <c r="K35" s="13" t="s">
        <v>1721</v>
      </c>
      <c r="L35">
        <v>560.06999999999994</v>
      </c>
      <c r="M35">
        <v>186.69</v>
      </c>
      <c r="O35" s="13"/>
    </row>
    <row r="36" spans="1:33" x14ac:dyDescent="0.35">
      <c r="A36" s="19" t="s">
        <v>1746</v>
      </c>
      <c r="B36" t="s">
        <v>1750</v>
      </c>
      <c r="K36" s="13" t="s">
        <v>239</v>
      </c>
      <c r="L36">
        <v>105.56540000000001</v>
      </c>
      <c r="M36">
        <v>230.57800000000003</v>
      </c>
      <c r="O36" s="13"/>
    </row>
    <row r="37" spans="1:33" x14ac:dyDescent="0.35">
      <c r="A37" s="13" t="s">
        <v>1256</v>
      </c>
      <c r="B37" s="22">
        <v>2</v>
      </c>
      <c r="K37" s="13" t="s">
        <v>78</v>
      </c>
      <c r="L37">
        <v>19436.9912</v>
      </c>
      <c r="M37">
        <v>3942.9160000000006</v>
      </c>
      <c r="O37" s="13"/>
    </row>
    <row r="38" spans="1:33" x14ac:dyDescent="0.35">
      <c r="A38" s="13" t="s">
        <v>59</v>
      </c>
      <c r="B38" s="22">
        <v>3</v>
      </c>
      <c r="K38" s="13" t="s">
        <v>95</v>
      </c>
      <c r="L38">
        <v>274.37920000000003</v>
      </c>
      <c r="M38">
        <v>120.268</v>
      </c>
      <c r="O38" s="13"/>
    </row>
    <row r="39" spans="1:33" x14ac:dyDescent="0.35">
      <c r="A39" s="13" t="s">
        <v>871</v>
      </c>
      <c r="B39" s="22">
        <v>11</v>
      </c>
      <c r="K39" s="13" t="s">
        <v>223</v>
      </c>
      <c r="L39">
        <v>1202.75</v>
      </c>
      <c r="M39">
        <v>320.03000000000003</v>
      </c>
      <c r="O39" s="13"/>
    </row>
    <row r="40" spans="1:33" x14ac:dyDescent="0.35">
      <c r="A40" s="13" t="s">
        <v>1567</v>
      </c>
      <c r="B40" s="22">
        <v>5</v>
      </c>
      <c r="K40" s="13" t="s">
        <v>70</v>
      </c>
      <c r="L40">
        <v>5490.9279999999999</v>
      </c>
      <c r="M40">
        <v>1451.5080000000003</v>
      </c>
      <c r="O40" s="13"/>
    </row>
    <row r="41" spans="1:33" x14ac:dyDescent="0.35">
      <c r="A41" s="13" t="s">
        <v>850</v>
      </c>
      <c r="B41" s="22">
        <v>2</v>
      </c>
      <c r="K41" s="13" t="s">
        <v>88</v>
      </c>
      <c r="L41">
        <v>4943.91</v>
      </c>
      <c r="M41">
        <v>860.15000000000009</v>
      </c>
      <c r="O41" s="13"/>
    </row>
    <row r="42" spans="1:33" x14ac:dyDescent="0.35">
      <c r="A42" s="13" t="s">
        <v>1221</v>
      </c>
      <c r="B42" s="22">
        <v>8</v>
      </c>
      <c r="K42" s="13" t="s">
        <v>1756</v>
      </c>
      <c r="L42">
        <v>240491.89989999999</v>
      </c>
      <c r="M42">
        <v>55724.019000000008</v>
      </c>
      <c r="O42" s="13"/>
    </row>
    <row r="43" spans="1:33" x14ac:dyDescent="0.35">
      <c r="A43" s="13" t="s">
        <v>92</v>
      </c>
      <c r="B43" s="22">
        <v>2</v>
      </c>
      <c r="O43" s="13"/>
    </row>
    <row r="44" spans="1:33" x14ac:dyDescent="0.35">
      <c r="A44" s="13" t="s">
        <v>726</v>
      </c>
      <c r="B44" s="22">
        <v>15</v>
      </c>
      <c r="K44" s="19" t="s">
        <v>1746</v>
      </c>
      <c r="L44" t="s">
        <v>1747</v>
      </c>
      <c r="O44" s="13"/>
      <c r="AF44" s="16"/>
      <c r="AG44" s="16"/>
    </row>
    <row r="45" spans="1:33" x14ac:dyDescent="0.35">
      <c r="A45" s="13" t="s">
        <v>803</v>
      </c>
      <c r="B45" s="22">
        <v>3</v>
      </c>
      <c r="K45" s="13" t="s">
        <v>160</v>
      </c>
      <c r="L45">
        <v>10272.212000000005</v>
      </c>
      <c r="N45" t="s">
        <v>1780</v>
      </c>
      <c r="R45" t="s">
        <v>1779</v>
      </c>
    </row>
    <row r="46" spans="1:33" x14ac:dyDescent="0.35">
      <c r="A46" s="13" t="s">
        <v>990</v>
      </c>
      <c r="B46" s="22">
        <v>7</v>
      </c>
      <c r="K46" s="16" t="s">
        <v>871</v>
      </c>
      <c r="L46">
        <v>4431.8960000000006</v>
      </c>
      <c r="N46" s="12" t="s">
        <v>1746</v>
      </c>
      <c r="O46" t="s">
        <v>1766</v>
      </c>
      <c r="R46" s="19" t="s">
        <v>1747</v>
      </c>
      <c r="S46" s="19" t="s">
        <v>1767</v>
      </c>
      <c r="Y46" s="12" t="s">
        <v>1746</v>
      </c>
      <c r="Z46" s="16" t="s">
        <v>1768</v>
      </c>
      <c r="AA46" s="16" t="s">
        <v>1769</v>
      </c>
      <c r="AB46" s="16" t="s">
        <v>1770</v>
      </c>
      <c r="AC46" s="16" t="s">
        <v>1771</v>
      </c>
    </row>
    <row r="47" spans="1:33" x14ac:dyDescent="0.35">
      <c r="A47" s="13" t="s">
        <v>927</v>
      </c>
      <c r="B47" s="22">
        <v>6</v>
      </c>
      <c r="K47" s="16" t="s">
        <v>1279</v>
      </c>
      <c r="L47">
        <v>54.64</v>
      </c>
      <c r="N47" s="13" t="s">
        <v>36</v>
      </c>
      <c r="O47">
        <v>162</v>
      </c>
      <c r="P47" s="17">
        <f>O47/$O$51</f>
        <v>0.61363636363636365</v>
      </c>
      <c r="R47" s="19" t="s">
        <v>1746</v>
      </c>
      <c r="S47" t="s">
        <v>1768</v>
      </c>
      <c r="T47" t="s">
        <v>1769</v>
      </c>
      <c r="U47" t="s">
        <v>1770</v>
      </c>
      <c r="V47" t="s">
        <v>1771</v>
      </c>
      <c r="W47" t="s">
        <v>1756</v>
      </c>
      <c r="Y47" s="15" t="s">
        <v>39</v>
      </c>
      <c r="Z47">
        <v>3970.9639999999999</v>
      </c>
      <c r="AA47">
        <v>12679.677999999998</v>
      </c>
      <c r="AB47">
        <v>5689.4229999999998</v>
      </c>
      <c r="AC47">
        <v>3883.9170000000008</v>
      </c>
    </row>
    <row r="48" spans="1:33" x14ac:dyDescent="0.35">
      <c r="A48" s="13" t="s">
        <v>744</v>
      </c>
      <c r="B48" s="22">
        <v>14</v>
      </c>
      <c r="K48" s="16" t="s">
        <v>948</v>
      </c>
      <c r="L48">
        <v>100.49600000000001</v>
      </c>
      <c r="N48" s="13" t="s">
        <v>23</v>
      </c>
      <c r="O48">
        <v>55</v>
      </c>
      <c r="P48" s="17">
        <f t="shared" ref="P48:P50" si="0">O48/$O$51</f>
        <v>0.20833333333333334</v>
      </c>
      <c r="R48" s="13" t="s">
        <v>39</v>
      </c>
      <c r="S48">
        <v>3970.9639999999999</v>
      </c>
      <c r="T48">
        <v>12679.677999999998</v>
      </c>
      <c r="U48">
        <v>5689.4229999999998</v>
      </c>
      <c r="V48">
        <v>3883.9170000000008</v>
      </c>
      <c r="W48">
        <v>26223.982</v>
      </c>
      <c r="Y48" s="15" t="s">
        <v>26</v>
      </c>
      <c r="Z48">
        <v>3281.9680000000003</v>
      </c>
      <c r="AA48">
        <v>2722.3320000000003</v>
      </c>
      <c r="AB48">
        <v>5667.7700000000023</v>
      </c>
      <c r="AC48">
        <v>5722.2739999999994</v>
      </c>
    </row>
    <row r="49" spans="1:29" x14ac:dyDescent="0.35">
      <c r="A49" s="13" t="s">
        <v>1299</v>
      </c>
      <c r="B49" s="22">
        <v>4</v>
      </c>
      <c r="K49" s="16" t="s">
        <v>718</v>
      </c>
      <c r="L49">
        <v>14.8</v>
      </c>
      <c r="N49" s="13" t="s">
        <v>160</v>
      </c>
      <c r="O49">
        <v>42</v>
      </c>
      <c r="P49" s="17">
        <f t="shared" si="0"/>
        <v>0.15909090909090909</v>
      </c>
      <c r="R49" s="13" t="s">
        <v>26</v>
      </c>
      <c r="S49">
        <v>3281.9680000000003</v>
      </c>
      <c r="T49">
        <v>2722.3320000000003</v>
      </c>
      <c r="U49">
        <v>5667.7700000000023</v>
      </c>
      <c r="V49">
        <v>5722.2739999999994</v>
      </c>
      <c r="W49">
        <v>17394.344000000005</v>
      </c>
      <c r="Y49" s="15" t="s">
        <v>76</v>
      </c>
      <c r="Z49">
        <v>2595.7359999999999</v>
      </c>
      <c r="AA49">
        <v>1005.8359999999999</v>
      </c>
      <c r="AB49">
        <v>6196.1170000000002</v>
      </c>
      <c r="AC49">
        <v>2308.0039999999999</v>
      </c>
    </row>
    <row r="50" spans="1:29" x14ac:dyDescent="0.35">
      <c r="A50" s="13" t="s">
        <v>1169</v>
      </c>
      <c r="B50" s="22">
        <v>8</v>
      </c>
      <c r="K50" s="16" t="s">
        <v>585</v>
      </c>
      <c r="L50">
        <v>2.6</v>
      </c>
      <c r="N50" s="18" t="s">
        <v>908</v>
      </c>
      <c r="O50">
        <v>5</v>
      </c>
      <c r="P50" s="17">
        <f t="shared" si="0"/>
        <v>1.893939393939394E-2</v>
      </c>
      <c r="R50" s="13" t="s">
        <v>76</v>
      </c>
      <c r="S50">
        <v>2595.7359999999999</v>
      </c>
      <c r="T50">
        <v>1005.8359999999999</v>
      </c>
      <c r="U50">
        <v>6196.1170000000002</v>
      </c>
      <c r="V50">
        <v>2308.0039999999999</v>
      </c>
      <c r="W50">
        <v>12105.692999999999</v>
      </c>
    </row>
    <row r="51" spans="1:29" x14ac:dyDescent="0.35">
      <c r="A51" s="13" t="s">
        <v>540</v>
      </c>
      <c r="B51" s="22">
        <v>6</v>
      </c>
      <c r="K51" s="16" t="s">
        <v>272</v>
      </c>
      <c r="L51">
        <v>230.376</v>
      </c>
      <c r="N51" s="14" t="s">
        <v>1781</v>
      </c>
      <c r="O51">
        <f>SUM(O47:O50)</f>
        <v>264</v>
      </c>
      <c r="R51" s="13" t="s">
        <v>1756</v>
      </c>
      <c r="S51">
        <v>9848.6680000000015</v>
      </c>
      <c r="T51">
        <v>16407.845999999998</v>
      </c>
      <c r="U51">
        <v>17553.310000000005</v>
      </c>
      <c r="V51">
        <v>11914.195</v>
      </c>
      <c r="W51">
        <v>55724.019</v>
      </c>
    </row>
    <row r="52" spans="1:29" x14ac:dyDescent="0.35">
      <c r="A52" s="13" t="s">
        <v>1598</v>
      </c>
      <c r="B52" s="22">
        <v>4</v>
      </c>
      <c r="K52" s="16" t="s">
        <v>1065</v>
      </c>
      <c r="L52">
        <v>714.30000000000007</v>
      </c>
    </row>
    <row r="53" spans="1:29" x14ac:dyDescent="0.35">
      <c r="A53" s="13" t="s">
        <v>1492</v>
      </c>
      <c r="B53" s="22">
        <v>2</v>
      </c>
      <c r="K53" s="16" t="s">
        <v>641</v>
      </c>
      <c r="L53">
        <v>167.31</v>
      </c>
    </row>
    <row r="54" spans="1:29" x14ac:dyDescent="0.35">
      <c r="A54" s="13" t="s">
        <v>1403</v>
      </c>
      <c r="B54" s="22">
        <v>20</v>
      </c>
      <c r="K54" s="16" t="s">
        <v>668</v>
      </c>
      <c r="L54">
        <v>442.5</v>
      </c>
    </row>
    <row r="55" spans="1:29" x14ac:dyDescent="0.35">
      <c r="A55" s="13" t="s">
        <v>1279</v>
      </c>
      <c r="B55" s="22">
        <v>8</v>
      </c>
      <c r="K55" s="16" t="s">
        <v>1592</v>
      </c>
      <c r="L55">
        <v>46.72</v>
      </c>
    </row>
    <row r="56" spans="1:29" x14ac:dyDescent="0.35">
      <c r="A56" s="13" t="s">
        <v>1396</v>
      </c>
      <c r="B56" s="22">
        <v>11</v>
      </c>
      <c r="K56" s="16" t="s">
        <v>393</v>
      </c>
      <c r="L56">
        <v>99.76</v>
      </c>
    </row>
    <row r="57" spans="1:29" x14ac:dyDescent="0.35">
      <c r="A57" s="13" t="s">
        <v>948</v>
      </c>
      <c r="B57" s="22">
        <v>10</v>
      </c>
      <c r="K57" s="16" t="s">
        <v>1636</v>
      </c>
      <c r="L57">
        <v>222.65</v>
      </c>
    </row>
    <row r="58" spans="1:29" x14ac:dyDescent="0.35">
      <c r="A58" s="13" t="s">
        <v>1442</v>
      </c>
      <c r="B58" s="22">
        <v>2</v>
      </c>
      <c r="K58" s="16" t="s">
        <v>433</v>
      </c>
      <c r="L58">
        <v>10.92</v>
      </c>
    </row>
    <row r="59" spans="1:29" x14ac:dyDescent="0.35">
      <c r="A59" s="13" t="s">
        <v>718</v>
      </c>
      <c r="B59" s="22">
        <v>10</v>
      </c>
      <c r="K59" s="16" t="s">
        <v>616</v>
      </c>
      <c r="L59">
        <v>75.232000000000014</v>
      </c>
    </row>
    <row r="60" spans="1:29" x14ac:dyDescent="0.35">
      <c r="A60" s="13" t="s">
        <v>1079</v>
      </c>
      <c r="B60" s="22">
        <v>8</v>
      </c>
      <c r="K60" s="16" t="s">
        <v>1321</v>
      </c>
      <c r="L60">
        <v>6.57</v>
      </c>
    </row>
    <row r="61" spans="1:29" x14ac:dyDescent="0.35">
      <c r="A61" s="13" t="s">
        <v>1239</v>
      </c>
      <c r="B61" s="22">
        <v>8</v>
      </c>
      <c r="K61" s="16" t="s">
        <v>1572</v>
      </c>
      <c r="L61">
        <v>570.49200000000008</v>
      </c>
    </row>
    <row r="62" spans="1:29" x14ac:dyDescent="0.35">
      <c r="A62" s="13" t="s">
        <v>1364</v>
      </c>
      <c r="B62" s="22">
        <v>3</v>
      </c>
      <c r="K62" s="16" t="s">
        <v>243</v>
      </c>
      <c r="L62">
        <v>28.488000000000003</v>
      </c>
    </row>
    <row r="63" spans="1:29" x14ac:dyDescent="0.35">
      <c r="A63" s="13" t="s">
        <v>1680</v>
      </c>
      <c r="B63" s="22">
        <v>4</v>
      </c>
      <c r="K63" s="16" t="s">
        <v>220</v>
      </c>
      <c r="L63">
        <v>75.88</v>
      </c>
    </row>
    <row r="64" spans="1:29" x14ac:dyDescent="0.35">
      <c r="A64" s="13" t="s">
        <v>47</v>
      </c>
      <c r="B64" s="22">
        <v>12</v>
      </c>
      <c r="K64" s="16" t="s">
        <v>312</v>
      </c>
      <c r="L64">
        <v>51.311999999999998</v>
      </c>
    </row>
    <row r="65" spans="1:12" x14ac:dyDescent="0.35">
      <c r="A65" s="13" t="s">
        <v>488</v>
      </c>
      <c r="B65" s="22">
        <v>17</v>
      </c>
      <c r="K65" s="16" t="s">
        <v>759</v>
      </c>
      <c r="L65">
        <v>106.15200000000002</v>
      </c>
    </row>
    <row r="66" spans="1:12" x14ac:dyDescent="0.35">
      <c r="A66" s="13" t="s">
        <v>1717</v>
      </c>
      <c r="B66" s="22">
        <v>5</v>
      </c>
      <c r="K66" s="16" t="s">
        <v>997</v>
      </c>
      <c r="L66">
        <v>16.72</v>
      </c>
    </row>
    <row r="67" spans="1:12" x14ac:dyDescent="0.35">
      <c r="A67" s="13" t="s">
        <v>1584</v>
      </c>
      <c r="B67" s="22">
        <v>7</v>
      </c>
      <c r="K67" s="16" t="s">
        <v>1555</v>
      </c>
      <c r="L67">
        <v>34.06</v>
      </c>
    </row>
    <row r="68" spans="1:12" x14ac:dyDescent="0.35">
      <c r="A68" s="13" t="s">
        <v>1214</v>
      </c>
      <c r="B68" s="22">
        <v>5</v>
      </c>
      <c r="K68" s="16" t="s">
        <v>933</v>
      </c>
      <c r="L68">
        <v>99.13600000000001</v>
      </c>
    </row>
    <row r="69" spans="1:12" x14ac:dyDescent="0.35">
      <c r="A69" s="13" t="s">
        <v>965</v>
      </c>
      <c r="B69" s="22">
        <v>3</v>
      </c>
      <c r="K69" s="16" t="s">
        <v>546</v>
      </c>
      <c r="L69">
        <v>71.740000000000009</v>
      </c>
    </row>
    <row r="70" spans="1:12" x14ac:dyDescent="0.35">
      <c r="A70" s="13" t="s">
        <v>797</v>
      </c>
      <c r="B70" s="22">
        <v>3</v>
      </c>
      <c r="K70" s="16" t="s">
        <v>1160</v>
      </c>
      <c r="L70">
        <v>29.6</v>
      </c>
    </row>
    <row r="71" spans="1:12" x14ac:dyDescent="0.35">
      <c r="A71" s="13" t="s">
        <v>213</v>
      </c>
      <c r="B71" s="22">
        <v>8</v>
      </c>
      <c r="K71" s="16" t="s">
        <v>1408</v>
      </c>
      <c r="L71">
        <v>15.712000000000002</v>
      </c>
    </row>
    <row r="72" spans="1:12" x14ac:dyDescent="0.35">
      <c r="A72" s="13" t="s">
        <v>585</v>
      </c>
      <c r="B72" s="22">
        <v>1</v>
      </c>
      <c r="K72" s="16" t="s">
        <v>955</v>
      </c>
      <c r="L72">
        <v>2.6240000000000001</v>
      </c>
    </row>
    <row r="73" spans="1:12" x14ac:dyDescent="0.35">
      <c r="A73" s="13" t="s">
        <v>1699</v>
      </c>
      <c r="B73" s="22">
        <v>10</v>
      </c>
      <c r="K73" s="16" t="s">
        <v>752</v>
      </c>
      <c r="L73">
        <v>88.14</v>
      </c>
    </row>
    <row r="74" spans="1:12" x14ac:dyDescent="0.35">
      <c r="A74" s="13" t="s">
        <v>1429</v>
      </c>
      <c r="B74" s="22">
        <v>5</v>
      </c>
      <c r="K74" s="16" t="s">
        <v>161</v>
      </c>
      <c r="L74">
        <v>17.46</v>
      </c>
    </row>
    <row r="75" spans="1:12" x14ac:dyDescent="0.35">
      <c r="A75" s="13" t="s">
        <v>702</v>
      </c>
      <c r="B75" s="22">
        <v>4</v>
      </c>
      <c r="K75" s="16" t="s">
        <v>827</v>
      </c>
      <c r="L75">
        <v>192.22800000000001</v>
      </c>
    </row>
    <row r="76" spans="1:12" x14ac:dyDescent="0.35">
      <c r="A76" s="13" t="s">
        <v>1316</v>
      </c>
      <c r="B76" s="22">
        <v>5</v>
      </c>
      <c r="K76" s="16" t="s">
        <v>1529</v>
      </c>
      <c r="L76">
        <v>100.34</v>
      </c>
    </row>
    <row r="77" spans="1:12" x14ac:dyDescent="0.35">
      <c r="A77" s="13" t="s">
        <v>557</v>
      </c>
      <c r="B77" s="22">
        <v>29</v>
      </c>
      <c r="K77" s="16" t="s">
        <v>376</v>
      </c>
      <c r="L77">
        <v>372.41999999999996</v>
      </c>
    </row>
    <row r="78" spans="1:12" x14ac:dyDescent="0.35">
      <c r="A78" s="13" t="s">
        <v>692</v>
      </c>
      <c r="B78" s="22">
        <v>3</v>
      </c>
      <c r="K78" s="16" t="s">
        <v>250</v>
      </c>
      <c r="L78">
        <v>224.9</v>
      </c>
    </row>
    <row r="79" spans="1:12" x14ac:dyDescent="0.35">
      <c r="A79" s="13" t="s">
        <v>1354</v>
      </c>
      <c r="B79" s="22">
        <v>4</v>
      </c>
      <c r="K79" s="16" t="s">
        <v>791</v>
      </c>
      <c r="L79">
        <v>4.8899999999999997</v>
      </c>
    </row>
    <row r="80" spans="1:12" x14ac:dyDescent="0.35">
      <c r="A80" s="13" t="s">
        <v>1479</v>
      </c>
      <c r="B80" s="22">
        <v>2</v>
      </c>
      <c r="K80" s="16" t="s">
        <v>449</v>
      </c>
      <c r="L80">
        <v>244.77999999999997</v>
      </c>
    </row>
    <row r="81" spans="1:12" x14ac:dyDescent="0.35">
      <c r="A81" s="13" t="s">
        <v>680</v>
      </c>
      <c r="B81" s="22">
        <v>11</v>
      </c>
      <c r="K81" s="16" t="s">
        <v>809</v>
      </c>
      <c r="L81">
        <v>99.13600000000001</v>
      </c>
    </row>
    <row r="82" spans="1:12" x14ac:dyDescent="0.35">
      <c r="A82" s="13" t="s">
        <v>1536</v>
      </c>
      <c r="B82" s="22">
        <v>6</v>
      </c>
      <c r="K82" s="16" t="s">
        <v>192</v>
      </c>
      <c r="L82">
        <v>305.68</v>
      </c>
    </row>
    <row r="83" spans="1:12" x14ac:dyDescent="0.35">
      <c r="A83" s="13" t="s">
        <v>1026</v>
      </c>
      <c r="B83" s="22">
        <v>8</v>
      </c>
      <c r="K83" s="16" t="s">
        <v>1595</v>
      </c>
      <c r="L83">
        <v>55.48</v>
      </c>
    </row>
    <row r="84" spans="1:12" x14ac:dyDescent="0.35">
      <c r="A84" s="13" t="s">
        <v>1393</v>
      </c>
      <c r="B84" s="22">
        <v>2</v>
      </c>
      <c r="K84" s="16" t="s">
        <v>1388</v>
      </c>
      <c r="L84">
        <v>11.632</v>
      </c>
    </row>
    <row r="85" spans="1:12" x14ac:dyDescent="0.35">
      <c r="A85" s="13" t="s">
        <v>1613</v>
      </c>
      <c r="B85" s="22">
        <v>3</v>
      </c>
      <c r="K85" s="16" t="s">
        <v>471</v>
      </c>
      <c r="L85">
        <v>5.98</v>
      </c>
    </row>
    <row r="86" spans="1:12" x14ac:dyDescent="0.35">
      <c r="A86" s="13" t="s">
        <v>1418</v>
      </c>
      <c r="B86" s="22">
        <v>2</v>
      </c>
      <c r="K86" s="16" t="s">
        <v>443</v>
      </c>
      <c r="L86">
        <v>157.91999999999999</v>
      </c>
    </row>
    <row r="87" spans="1:12" x14ac:dyDescent="0.35">
      <c r="A87" s="13" t="s">
        <v>348</v>
      </c>
      <c r="B87" s="22">
        <v>10</v>
      </c>
      <c r="K87" s="16" t="s">
        <v>892</v>
      </c>
      <c r="L87">
        <v>668.54000000000008</v>
      </c>
    </row>
    <row r="88" spans="1:12" x14ac:dyDescent="0.35">
      <c r="A88" s="13" t="s">
        <v>1202</v>
      </c>
      <c r="B88" s="22">
        <v>12</v>
      </c>
      <c r="K88" s="13" t="s">
        <v>908</v>
      </c>
      <c r="L88">
        <v>675.15800000000002</v>
      </c>
    </row>
    <row r="89" spans="1:12" x14ac:dyDescent="0.35">
      <c r="A89" s="13" t="s">
        <v>1677</v>
      </c>
      <c r="B89" s="22">
        <v>3</v>
      </c>
      <c r="K89" s="16" t="s">
        <v>1504</v>
      </c>
      <c r="L89">
        <v>2.3079999999999994</v>
      </c>
    </row>
    <row r="90" spans="1:12" x14ac:dyDescent="0.35">
      <c r="A90" s="13" t="s">
        <v>783</v>
      </c>
      <c r="B90" s="22">
        <v>9</v>
      </c>
      <c r="K90" s="16" t="s">
        <v>1551</v>
      </c>
      <c r="L90">
        <v>167.44000000000003</v>
      </c>
    </row>
    <row r="91" spans="1:12" x14ac:dyDescent="0.35">
      <c r="A91" s="13" t="s">
        <v>1495</v>
      </c>
      <c r="B91" s="22">
        <v>6</v>
      </c>
      <c r="K91" s="16" t="s">
        <v>1133</v>
      </c>
      <c r="L91">
        <v>359.32</v>
      </c>
    </row>
    <row r="92" spans="1:12" x14ac:dyDescent="0.35">
      <c r="A92" s="13" t="s">
        <v>1351</v>
      </c>
      <c r="B92" s="22">
        <v>2</v>
      </c>
      <c r="K92" s="16" t="s">
        <v>909</v>
      </c>
      <c r="L92">
        <v>135.35</v>
      </c>
    </row>
    <row r="93" spans="1:12" x14ac:dyDescent="0.35">
      <c r="A93" s="13" t="s">
        <v>500</v>
      </c>
      <c r="B93" s="22">
        <v>9</v>
      </c>
      <c r="K93" s="16" t="s">
        <v>1513</v>
      </c>
      <c r="L93">
        <v>10.74</v>
      </c>
    </row>
    <row r="94" spans="1:12" x14ac:dyDescent="0.35">
      <c r="A94" s="13" t="s">
        <v>1688</v>
      </c>
      <c r="B94" s="22">
        <v>14</v>
      </c>
      <c r="K94" s="13" t="s">
        <v>23</v>
      </c>
      <c r="L94">
        <v>11989.694000000001</v>
      </c>
    </row>
    <row r="95" spans="1:12" x14ac:dyDescent="0.35">
      <c r="A95" s="13" t="s">
        <v>272</v>
      </c>
      <c r="B95" s="22">
        <v>5</v>
      </c>
      <c r="K95" s="16" t="s">
        <v>92</v>
      </c>
      <c r="L95">
        <v>55.5</v>
      </c>
    </row>
    <row r="96" spans="1:12" x14ac:dyDescent="0.35">
      <c r="A96" s="13" t="s">
        <v>1165</v>
      </c>
      <c r="B96" s="22">
        <v>2</v>
      </c>
      <c r="K96" s="16" t="s">
        <v>990</v>
      </c>
      <c r="L96">
        <v>167.08799999999999</v>
      </c>
    </row>
    <row r="97" spans="1:12" x14ac:dyDescent="0.35">
      <c r="A97" s="13" t="s">
        <v>1065</v>
      </c>
      <c r="B97" s="22">
        <v>5</v>
      </c>
      <c r="K97" s="16" t="s">
        <v>744</v>
      </c>
      <c r="L97">
        <v>1410.0660000000003</v>
      </c>
    </row>
    <row r="98" spans="1:12" x14ac:dyDescent="0.35">
      <c r="A98" s="13" t="s">
        <v>641</v>
      </c>
      <c r="B98" s="22">
        <v>18</v>
      </c>
      <c r="K98" s="16" t="s">
        <v>1299</v>
      </c>
      <c r="L98">
        <v>19.456000000000003</v>
      </c>
    </row>
    <row r="99" spans="1:12" x14ac:dyDescent="0.35">
      <c r="A99" s="13" t="s">
        <v>1232</v>
      </c>
      <c r="B99" s="22">
        <v>11</v>
      </c>
      <c r="K99" s="16" t="s">
        <v>1239</v>
      </c>
      <c r="L99">
        <v>235.94400000000002</v>
      </c>
    </row>
    <row r="100" spans="1:12" x14ac:dyDescent="0.35">
      <c r="A100" s="13" t="s">
        <v>843</v>
      </c>
      <c r="B100" s="22">
        <v>5</v>
      </c>
      <c r="K100" s="16" t="s">
        <v>1717</v>
      </c>
      <c r="L100">
        <v>32.07</v>
      </c>
    </row>
    <row r="101" spans="1:12" x14ac:dyDescent="0.35">
      <c r="A101" s="13" t="s">
        <v>1673</v>
      </c>
      <c r="B101" s="22">
        <v>2</v>
      </c>
      <c r="K101" s="16" t="s">
        <v>965</v>
      </c>
      <c r="L101">
        <v>12.461999999999996</v>
      </c>
    </row>
    <row r="102" spans="1:12" x14ac:dyDescent="0.35">
      <c r="A102" s="13" t="s">
        <v>1544</v>
      </c>
      <c r="B102" s="22">
        <v>9</v>
      </c>
      <c r="K102" s="16" t="s">
        <v>797</v>
      </c>
      <c r="L102">
        <v>6.2640000000000002</v>
      </c>
    </row>
    <row r="103" spans="1:12" x14ac:dyDescent="0.35">
      <c r="A103" s="13" t="s">
        <v>1270</v>
      </c>
      <c r="B103" s="22">
        <v>3</v>
      </c>
      <c r="K103" s="16" t="s">
        <v>1316</v>
      </c>
      <c r="L103">
        <v>13</v>
      </c>
    </row>
    <row r="104" spans="1:12" x14ac:dyDescent="0.35">
      <c r="A104" s="13" t="s">
        <v>528</v>
      </c>
      <c r="B104" s="22">
        <v>2</v>
      </c>
      <c r="K104" s="16" t="s">
        <v>680</v>
      </c>
      <c r="L104">
        <v>243.858</v>
      </c>
    </row>
    <row r="105" spans="1:12" x14ac:dyDescent="0.35">
      <c r="A105" s="13" t="s">
        <v>1286</v>
      </c>
      <c r="B105" s="22">
        <v>19</v>
      </c>
      <c r="K105" s="16" t="s">
        <v>1418</v>
      </c>
      <c r="L105">
        <v>3.6480000000000006</v>
      </c>
    </row>
    <row r="106" spans="1:12" x14ac:dyDescent="0.35">
      <c r="A106" s="13" t="s">
        <v>1709</v>
      </c>
      <c r="B106" s="22">
        <v>7</v>
      </c>
      <c r="K106" s="16" t="s">
        <v>348</v>
      </c>
      <c r="L106">
        <v>17.456</v>
      </c>
    </row>
    <row r="107" spans="1:12" x14ac:dyDescent="0.35">
      <c r="A107" s="13" t="s">
        <v>668</v>
      </c>
      <c r="B107" s="22">
        <v>10</v>
      </c>
      <c r="K107" s="16" t="s">
        <v>1688</v>
      </c>
      <c r="L107">
        <v>640.52</v>
      </c>
    </row>
    <row r="108" spans="1:12" x14ac:dyDescent="0.35">
      <c r="A108" s="13" t="s">
        <v>687</v>
      </c>
      <c r="B108" s="22">
        <v>7</v>
      </c>
      <c r="K108" s="16" t="s">
        <v>1165</v>
      </c>
      <c r="L108">
        <v>70.367999999999995</v>
      </c>
    </row>
    <row r="109" spans="1:12" x14ac:dyDescent="0.35">
      <c r="A109" s="13" t="s">
        <v>259</v>
      </c>
      <c r="B109" s="22">
        <v>6</v>
      </c>
      <c r="K109" s="16" t="s">
        <v>843</v>
      </c>
      <c r="L109">
        <v>19.120000000000005</v>
      </c>
    </row>
    <row r="110" spans="1:12" x14ac:dyDescent="0.35">
      <c r="A110" s="13" t="s">
        <v>175</v>
      </c>
      <c r="B110" s="22">
        <v>12</v>
      </c>
      <c r="K110" s="16" t="s">
        <v>528</v>
      </c>
      <c r="L110">
        <v>24.816000000000003</v>
      </c>
    </row>
    <row r="111" spans="1:12" x14ac:dyDescent="0.35">
      <c r="A111" s="13" t="s">
        <v>1592</v>
      </c>
      <c r="B111" s="22">
        <v>8</v>
      </c>
      <c r="K111" s="16" t="s">
        <v>1286</v>
      </c>
      <c r="L111">
        <v>1566.136</v>
      </c>
    </row>
    <row r="112" spans="1:12" x14ac:dyDescent="0.35">
      <c r="A112" s="13" t="s">
        <v>675</v>
      </c>
      <c r="B112" s="22">
        <v>7</v>
      </c>
      <c r="K112" s="16" t="s">
        <v>687</v>
      </c>
      <c r="L112">
        <v>19.920000000000002</v>
      </c>
    </row>
    <row r="113" spans="1:12" x14ac:dyDescent="0.35">
      <c r="A113" s="13" t="s">
        <v>1644</v>
      </c>
      <c r="B113" s="22">
        <v>18</v>
      </c>
      <c r="K113" s="16" t="s">
        <v>24</v>
      </c>
      <c r="L113">
        <v>14.62</v>
      </c>
    </row>
    <row r="114" spans="1:12" x14ac:dyDescent="0.35">
      <c r="A114" s="13" t="s">
        <v>626</v>
      </c>
      <c r="B114" s="22">
        <v>2</v>
      </c>
      <c r="K114" s="16" t="s">
        <v>652</v>
      </c>
      <c r="L114">
        <v>1743.77</v>
      </c>
    </row>
    <row r="115" spans="1:12" x14ac:dyDescent="0.35">
      <c r="A115" s="13" t="s">
        <v>24</v>
      </c>
      <c r="B115" s="22">
        <v>2</v>
      </c>
      <c r="K115" s="16" t="s">
        <v>1107</v>
      </c>
      <c r="L115">
        <v>15.920000000000002</v>
      </c>
    </row>
    <row r="116" spans="1:12" x14ac:dyDescent="0.35">
      <c r="A116" s="13" t="s">
        <v>1359</v>
      </c>
      <c r="B116" s="22">
        <v>10</v>
      </c>
      <c r="K116" s="16" t="s">
        <v>116</v>
      </c>
      <c r="L116">
        <v>11.648000000000001</v>
      </c>
    </row>
    <row r="117" spans="1:12" x14ac:dyDescent="0.35">
      <c r="A117" s="13" t="s">
        <v>652</v>
      </c>
      <c r="B117" s="22">
        <v>17</v>
      </c>
      <c r="K117" s="16" t="s">
        <v>1262</v>
      </c>
      <c r="L117">
        <v>42.615999999999993</v>
      </c>
    </row>
    <row r="118" spans="1:12" x14ac:dyDescent="0.35">
      <c r="A118" s="13" t="s">
        <v>393</v>
      </c>
      <c r="B118" s="22">
        <v>11</v>
      </c>
      <c r="K118" s="16" t="s">
        <v>1450</v>
      </c>
      <c r="L118">
        <v>243.38400000000001</v>
      </c>
    </row>
    <row r="119" spans="1:12" x14ac:dyDescent="0.35">
      <c r="A119" s="13" t="s">
        <v>634</v>
      </c>
      <c r="B119" s="22">
        <v>10</v>
      </c>
      <c r="K119" s="16" t="s">
        <v>1413</v>
      </c>
      <c r="L119">
        <v>8.4480000000000004</v>
      </c>
    </row>
    <row r="120" spans="1:12" x14ac:dyDescent="0.35">
      <c r="A120" s="13" t="s">
        <v>1107</v>
      </c>
      <c r="B120" s="22">
        <v>7</v>
      </c>
      <c r="K120" s="16" t="s">
        <v>285</v>
      </c>
      <c r="L120">
        <v>158.36800000000002</v>
      </c>
    </row>
    <row r="121" spans="1:12" x14ac:dyDescent="0.35">
      <c r="A121" s="13" t="s">
        <v>1326</v>
      </c>
      <c r="B121" s="22">
        <v>18</v>
      </c>
      <c r="K121" s="16" t="s">
        <v>330</v>
      </c>
      <c r="L121">
        <v>23.92</v>
      </c>
    </row>
    <row r="122" spans="1:12" x14ac:dyDescent="0.35">
      <c r="A122" s="13" t="s">
        <v>1636</v>
      </c>
      <c r="B122" s="22">
        <v>13</v>
      </c>
      <c r="K122" s="16" t="s">
        <v>767</v>
      </c>
      <c r="L122">
        <v>558.8180000000001</v>
      </c>
    </row>
    <row r="123" spans="1:12" x14ac:dyDescent="0.35">
      <c r="A123" s="13" t="s">
        <v>116</v>
      </c>
      <c r="B123" s="22">
        <v>2</v>
      </c>
      <c r="K123" s="16" t="s">
        <v>236</v>
      </c>
      <c r="L123">
        <v>15.88</v>
      </c>
    </row>
    <row r="124" spans="1:12" x14ac:dyDescent="0.35">
      <c r="A124" s="13" t="s">
        <v>1504</v>
      </c>
      <c r="B124" s="22">
        <v>2</v>
      </c>
      <c r="K124" s="16" t="s">
        <v>1467</v>
      </c>
      <c r="L124">
        <v>356.65</v>
      </c>
    </row>
    <row r="125" spans="1:12" x14ac:dyDescent="0.35">
      <c r="A125" s="13" t="s">
        <v>1157</v>
      </c>
      <c r="B125" s="22">
        <v>2</v>
      </c>
      <c r="K125" s="16" t="s">
        <v>836</v>
      </c>
      <c r="L125">
        <v>25.620000000000005</v>
      </c>
    </row>
    <row r="126" spans="1:12" x14ac:dyDescent="0.35">
      <c r="A126" s="13" t="s">
        <v>1262</v>
      </c>
      <c r="B126" s="22">
        <v>7</v>
      </c>
      <c r="K126" s="16" t="s">
        <v>184</v>
      </c>
      <c r="L126">
        <v>287.92</v>
      </c>
    </row>
    <row r="127" spans="1:12" x14ac:dyDescent="0.35">
      <c r="A127" s="13" t="s">
        <v>317</v>
      </c>
      <c r="B127" s="22">
        <v>6</v>
      </c>
      <c r="K127" s="16" t="s">
        <v>1139</v>
      </c>
      <c r="L127">
        <v>590.93999999999994</v>
      </c>
    </row>
    <row r="128" spans="1:12" x14ac:dyDescent="0.35">
      <c r="A128" s="13" t="s">
        <v>1734</v>
      </c>
      <c r="B128" s="22">
        <v>6</v>
      </c>
      <c r="K128" s="16" t="s">
        <v>297</v>
      </c>
      <c r="L128">
        <v>45.92</v>
      </c>
    </row>
    <row r="129" spans="1:12" x14ac:dyDescent="0.35">
      <c r="A129" s="13" t="s">
        <v>154</v>
      </c>
      <c r="B129" s="22">
        <v>2</v>
      </c>
      <c r="K129" s="16" t="s">
        <v>710</v>
      </c>
      <c r="L129">
        <v>725.84</v>
      </c>
    </row>
    <row r="130" spans="1:12" x14ac:dyDescent="0.35">
      <c r="A130" s="13" t="s">
        <v>817</v>
      </c>
      <c r="B130" s="22">
        <v>2</v>
      </c>
      <c r="K130" s="16" t="s">
        <v>647</v>
      </c>
      <c r="L130">
        <v>38.288000000000004</v>
      </c>
    </row>
    <row r="131" spans="1:12" x14ac:dyDescent="0.35">
      <c r="A131" s="13" t="s">
        <v>572</v>
      </c>
      <c r="B131" s="22">
        <v>5</v>
      </c>
      <c r="K131" s="16" t="s">
        <v>591</v>
      </c>
      <c r="L131">
        <v>66.283999999999992</v>
      </c>
    </row>
    <row r="132" spans="1:12" x14ac:dyDescent="0.35">
      <c r="A132" s="13" t="s">
        <v>1450</v>
      </c>
      <c r="B132" s="22">
        <v>3</v>
      </c>
      <c r="K132" s="16" t="s">
        <v>1311</v>
      </c>
      <c r="L132">
        <v>84.056000000000012</v>
      </c>
    </row>
    <row r="133" spans="1:12" x14ac:dyDescent="0.35">
      <c r="A133" s="13" t="s">
        <v>1413</v>
      </c>
      <c r="B133" s="22">
        <v>2</v>
      </c>
      <c r="K133" s="16" t="s">
        <v>138</v>
      </c>
      <c r="L133">
        <v>29.472000000000001</v>
      </c>
    </row>
    <row r="134" spans="1:12" x14ac:dyDescent="0.35">
      <c r="A134" s="13" t="s">
        <v>370</v>
      </c>
      <c r="B134" s="22">
        <v>1</v>
      </c>
      <c r="K134" s="16" t="s">
        <v>1424</v>
      </c>
      <c r="L134">
        <v>107.42400000000001</v>
      </c>
    </row>
    <row r="135" spans="1:12" x14ac:dyDescent="0.35">
      <c r="A135" s="13" t="s">
        <v>823</v>
      </c>
      <c r="B135" s="22">
        <v>6</v>
      </c>
      <c r="K135" s="16" t="s">
        <v>1561</v>
      </c>
      <c r="L135">
        <v>36.839999999999996</v>
      </c>
    </row>
    <row r="136" spans="1:12" x14ac:dyDescent="0.35">
      <c r="A136" s="13" t="s">
        <v>285</v>
      </c>
      <c r="B136" s="22">
        <v>7</v>
      </c>
      <c r="K136" s="16" t="s">
        <v>752</v>
      </c>
      <c r="L136">
        <v>37.591999999999999</v>
      </c>
    </row>
    <row r="137" spans="1:12" x14ac:dyDescent="0.35">
      <c r="A137" s="13" t="s">
        <v>1551</v>
      </c>
      <c r="B137" s="22">
        <v>2</v>
      </c>
      <c r="K137" s="16" t="s">
        <v>85</v>
      </c>
      <c r="L137">
        <v>379.3</v>
      </c>
    </row>
    <row r="138" spans="1:12" x14ac:dyDescent="0.35">
      <c r="A138" s="13" t="s">
        <v>1290</v>
      </c>
      <c r="B138" s="22">
        <v>3</v>
      </c>
      <c r="K138" s="16" t="s">
        <v>168</v>
      </c>
      <c r="L138">
        <v>211.96</v>
      </c>
    </row>
    <row r="139" spans="1:12" x14ac:dyDescent="0.35">
      <c r="A139" s="13" t="s">
        <v>919</v>
      </c>
      <c r="B139" s="22">
        <v>8</v>
      </c>
      <c r="K139" s="16" t="s">
        <v>1076</v>
      </c>
      <c r="L139">
        <v>313.488</v>
      </c>
    </row>
    <row r="140" spans="1:12" x14ac:dyDescent="0.35">
      <c r="A140" s="13" t="s">
        <v>330</v>
      </c>
      <c r="B140" s="22">
        <v>4</v>
      </c>
      <c r="K140" s="16" t="s">
        <v>1093</v>
      </c>
      <c r="L140">
        <v>525.66</v>
      </c>
    </row>
    <row r="141" spans="1:12" x14ac:dyDescent="0.35">
      <c r="A141" s="13" t="s">
        <v>433</v>
      </c>
      <c r="B141" s="22">
        <v>10</v>
      </c>
      <c r="K141" s="16" t="s">
        <v>357</v>
      </c>
      <c r="L141">
        <v>199.256</v>
      </c>
    </row>
    <row r="142" spans="1:12" x14ac:dyDescent="0.35">
      <c r="A142" s="13" t="s">
        <v>889</v>
      </c>
      <c r="B142" s="22">
        <v>5</v>
      </c>
      <c r="K142" s="16" t="s">
        <v>1252</v>
      </c>
      <c r="L142">
        <v>22.75</v>
      </c>
    </row>
    <row r="143" spans="1:12" x14ac:dyDescent="0.35">
      <c r="A143" s="13" t="s">
        <v>227</v>
      </c>
      <c r="B143" s="22">
        <v>1</v>
      </c>
      <c r="K143" s="16" t="s">
        <v>376</v>
      </c>
      <c r="L143">
        <v>2.0799999999999996</v>
      </c>
    </row>
    <row r="144" spans="1:12" x14ac:dyDescent="0.35">
      <c r="A144" s="13" t="s">
        <v>74</v>
      </c>
      <c r="B144" s="22">
        <v>12</v>
      </c>
      <c r="K144" s="16" t="s">
        <v>514</v>
      </c>
      <c r="L144">
        <v>97.263999999999982</v>
      </c>
    </row>
    <row r="145" spans="1:12" x14ac:dyDescent="0.35">
      <c r="A145" s="13" t="s">
        <v>67</v>
      </c>
      <c r="B145" s="22">
        <v>3</v>
      </c>
      <c r="K145" s="16" t="s">
        <v>978</v>
      </c>
      <c r="L145">
        <v>62.92</v>
      </c>
    </row>
    <row r="146" spans="1:12" x14ac:dyDescent="0.35">
      <c r="A146" s="13" t="s">
        <v>507</v>
      </c>
      <c r="B146" s="22">
        <v>6</v>
      </c>
      <c r="K146" s="16" t="s">
        <v>121</v>
      </c>
      <c r="L146">
        <v>19.049999999999997</v>
      </c>
    </row>
    <row r="147" spans="1:12" x14ac:dyDescent="0.35">
      <c r="A147" s="13" t="s">
        <v>616</v>
      </c>
      <c r="B147" s="22">
        <v>14</v>
      </c>
      <c r="K147" s="16" t="s">
        <v>1344</v>
      </c>
      <c r="L147">
        <v>187.94</v>
      </c>
    </row>
    <row r="148" spans="1:12" x14ac:dyDescent="0.35">
      <c r="A148" s="13" t="s">
        <v>266</v>
      </c>
      <c r="B148" s="22">
        <v>10</v>
      </c>
      <c r="K148" s="16" t="s">
        <v>1517</v>
      </c>
      <c r="L148">
        <v>108.816</v>
      </c>
    </row>
    <row r="149" spans="1:12" x14ac:dyDescent="0.35">
      <c r="A149" s="13" t="s">
        <v>767</v>
      </c>
      <c r="B149" s="22">
        <v>44</v>
      </c>
      <c r="K149" s="16" t="s">
        <v>99</v>
      </c>
      <c r="L149">
        <v>31.28</v>
      </c>
    </row>
    <row r="150" spans="1:12" x14ac:dyDescent="0.35">
      <c r="A150" s="13" t="s">
        <v>905</v>
      </c>
      <c r="B150" s="22">
        <v>4</v>
      </c>
      <c r="K150" s="13" t="s">
        <v>36</v>
      </c>
      <c r="L150">
        <v>32786.955000000009</v>
      </c>
    </row>
    <row r="151" spans="1:12" x14ac:dyDescent="0.35">
      <c r="A151" s="13" t="s">
        <v>236</v>
      </c>
      <c r="B151" s="22">
        <v>6</v>
      </c>
      <c r="K151" s="16" t="s">
        <v>1256</v>
      </c>
      <c r="L151">
        <v>16.768000000000001</v>
      </c>
    </row>
    <row r="152" spans="1:12" x14ac:dyDescent="0.35">
      <c r="A152" s="13" t="s">
        <v>437</v>
      </c>
      <c r="B152" s="22">
        <v>5</v>
      </c>
      <c r="K152" s="16" t="s">
        <v>59</v>
      </c>
      <c r="L152">
        <v>15.552000000000003</v>
      </c>
    </row>
    <row r="153" spans="1:12" x14ac:dyDescent="0.35">
      <c r="A153" s="13" t="s">
        <v>1631</v>
      </c>
      <c r="B153" s="22">
        <v>2</v>
      </c>
      <c r="K153" s="16" t="s">
        <v>1567</v>
      </c>
      <c r="L153">
        <v>33.4</v>
      </c>
    </row>
    <row r="154" spans="1:12" x14ac:dyDescent="0.35">
      <c r="A154" s="13" t="s">
        <v>1335</v>
      </c>
      <c r="B154" s="22">
        <v>18</v>
      </c>
      <c r="K154" s="16" t="s">
        <v>850</v>
      </c>
      <c r="L154">
        <v>7.7120000000000006</v>
      </c>
    </row>
    <row r="155" spans="1:12" x14ac:dyDescent="0.35">
      <c r="A155" s="13" t="s">
        <v>1321</v>
      </c>
      <c r="B155" s="22">
        <v>3</v>
      </c>
      <c r="K155" s="16" t="s">
        <v>1221</v>
      </c>
      <c r="L155">
        <v>1189.43</v>
      </c>
    </row>
    <row r="156" spans="1:12" x14ac:dyDescent="0.35">
      <c r="A156" s="13" t="s">
        <v>1150</v>
      </c>
      <c r="B156" s="22">
        <v>10</v>
      </c>
      <c r="K156" s="16" t="s">
        <v>726</v>
      </c>
      <c r="L156">
        <v>114.376</v>
      </c>
    </row>
    <row r="157" spans="1:12" x14ac:dyDescent="0.35">
      <c r="A157" s="13" t="s">
        <v>613</v>
      </c>
      <c r="B157" s="22">
        <v>6</v>
      </c>
      <c r="K157" s="16" t="s">
        <v>803</v>
      </c>
      <c r="L157">
        <v>15.552000000000003</v>
      </c>
    </row>
    <row r="158" spans="1:12" x14ac:dyDescent="0.35">
      <c r="A158" s="13" t="s">
        <v>597</v>
      </c>
      <c r="B158" s="22">
        <v>25</v>
      </c>
      <c r="K158" s="16" t="s">
        <v>927</v>
      </c>
      <c r="L158">
        <v>17.400000000000002</v>
      </c>
    </row>
    <row r="159" spans="1:12" x14ac:dyDescent="0.35">
      <c r="A159" s="13" t="s">
        <v>523</v>
      </c>
      <c r="B159" s="22">
        <v>1</v>
      </c>
      <c r="K159" s="16" t="s">
        <v>1169</v>
      </c>
      <c r="L159">
        <v>460.21999999999997</v>
      </c>
    </row>
    <row r="160" spans="1:12" x14ac:dyDescent="0.35">
      <c r="A160" s="13" t="s">
        <v>880</v>
      </c>
      <c r="B160" s="22">
        <v>11</v>
      </c>
      <c r="K160" s="16" t="s">
        <v>540</v>
      </c>
      <c r="L160">
        <v>57.240000000000009</v>
      </c>
    </row>
    <row r="161" spans="1:12" x14ac:dyDescent="0.35">
      <c r="A161" s="13" t="s">
        <v>1467</v>
      </c>
      <c r="B161" s="22">
        <v>9</v>
      </c>
      <c r="K161" s="16" t="s">
        <v>1598</v>
      </c>
      <c r="L161">
        <v>24.448</v>
      </c>
    </row>
    <row r="162" spans="1:12" x14ac:dyDescent="0.35">
      <c r="A162" s="13" t="s">
        <v>836</v>
      </c>
      <c r="B162" s="22">
        <v>5</v>
      </c>
      <c r="K162" s="16" t="s">
        <v>1492</v>
      </c>
      <c r="L162">
        <v>97.82</v>
      </c>
    </row>
    <row r="163" spans="1:12" x14ac:dyDescent="0.35">
      <c r="A163" s="13" t="s">
        <v>342</v>
      </c>
      <c r="B163" s="22">
        <v>1</v>
      </c>
      <c r="K163" s="16" t="s">
        <v>1403</v>
      </c>
      <c r="L163">
        <v>82.77000000000001</v>
      </c>
    </row>
    <row r="164" spans="1:12" x14ac:dyDescent="0.35">
      <c r="A164" s="13" t="s">
        <v>184</v>
      </c>
      <c r="B164" s="22">
        <v>15</v>
      </c>
      <c r="K164" s="16" t="s">
        <v>1396</v>
      </c>
      <c r="L164">
        <v>325.08600000000001</v>
      </c>
    </row>
    <row r="165" spans="1:12" x14ac:dyDescent="0.35">
      <c r="A165" s="13" t="s">
        <v>1572</v>
      </c>
      <c r="B165" s="22">
        <v>29</v>
      </c>
      <c r="K165" s="16" t="s">
        <v>1442</v>
      </c>
      <c r="L165">
        <v>97.16</v>
      </c>
    </row>
    <row r="166" spans="1:12" x14ac:dyDescent="0.35">
      <c r="A166" s="13" t="s">
        <v>1139</v>
      </c>
      <c r="B166" s="22">
        <v>21</v>
      </c>
      <c r="K166" s="16" t="s">
        <v>718</v>
      </c>
      <c r="L166">
        <v>61.704000000000008</v>
      </c>
    </row>
    <row r="167" spans="1:12" x14ac:dyDescent="0.35">
      <c r="A167" s="13" t="s">
        <v>290</v>
      </c>
      <c r="B167" s="22">
        <v>4</v>
      </c>
      <c r="K167" s="16" t="s">
        <v>1079</v>
      </c>
      <c r="L167">
        <v>31.872000000000003</v>
      </c>
    </row>
    <row r="168" spans="1:12" x14ac:dyDescent="0.35">
      <c r="A168" s="13" t="s">
        <v>297</v>
      </c>
      <c r="B168" s="22">
        <v>4</v>
      </c>
      <c r="K168" s="16" t="s">
        <v>1239</v>
      </c>
      <c r="L168">
        <v>22.200000000000003</v>
      </c>
    </row>
    <row r="169" spans="1:12" x14ac:dyDescent="0.35">
      <c r="A169" s="13" t="s">
        <v>107</v>
      </c>
      <c r="B169" s="22">
        <v>14</v>
      </c>
      <c r="K169" s="16" t="s">
        <v>1364</v>
      </c>
      <c r="L169">
        <v>294.93</v>
      </c>
    </row>
    <row r="170" spans="1:12" x14ac:dyDescent="0.35">
      <c r="A170" s="13" t="s">
        <v>243</v>
      </c>
      <c r="B170" s="22">
        <v>9</v>
      </c>
      <c r="K170" s="16" t="s">
        <v>1680</v>
      </c>
      <c r="L170">
        <v>22.72</v>
      </c>
    </row>
    <row r="171" spans="1:12" x14ac:dyDescent="0.35">
      <c r="A171" s="13" t="s">
        <v>662</v>
      </c>
      <c r="B171" s="22">
        <v>1</v>
      </c>
      <c r="K171" s="16" t="s">
        <v>47</v>
      </c>
      <c r="L171">
        <v>140.684</v>
      </c>
    </row>
    <row r="172" spans="1:12" x14ac:dyDescent="0.35">
      <c r="A172" s="13" t="s">
        <v>1021</v>
      </c>
      <c r="B172" s="22">
        <v>7</v>
      </c>
      <c r="K172" s="16" t="s">
        <v>488</v>
      </c>
      <c r="L172">
        <v>495.90799999999996</v>
      </c>
    </row>
    <row r="173" spans="1:12" x14ac:dyDescent="0.35">
      <c r="A173" s="13" t="s">
        <v>220</v>
      </c>
      <c r="B173" s="22">
        <v>2</v>
      </c>
      <c r="K173" s="16" t="s">
        <v>1584</v>
      </c>
      <c r="L173">
        <v>177.208</v>
      </c>
    </row>
    <row r="174" spans="1:12" x14ac:dyDescent="0.35">
      <c r="A174" s="13" t="s">
        <v>312</v>
      </c>
      <c r="B174" s="22">
        <v>3</v>
      </c>
      <c r="K174" s="16" t="s">
        <v>1214</v>
      </c>
      <c r="L174">
        <v>12.51</v>
      </c>
    </row>
    <row r="175" spans="1:12" x14ac:dyDescent="0.35">
      <c r="A175" s="13" t="s">
        <v>1011</v>
      </c>
      <c r="B175" s="22">
        <v>16</v>
      </c>
      <c r="K175" s="16" t="s">
        <v>213</v>
      </c>
      <c r="L175">
        <v>1113.0240000000001</v>
      </c>
    </row>
    <row r="176" spans="1:12" x14ac:dyDescent="0.35">
      <c r="A176" s="13" t="s">
        <v>1052</v>
      </c>
      <c r="B176" s="22">
        <v>6</v>
      </c>
      <c r="K176" s="16" t="s">
        <v>1699</v>
      </c>
      <c r="L176">
        <v>98.64</v>
      </c>
    </row>
    <row r="177" spans="1:12" x14ac:dyDescent="0.35">
      <c r="A177" s="13" t="s">
        <v>710</v>
      </c>
      <c r="B177" s="22">
        <v>4</v>
      </c>
      <c r="K177" s="16" t="s">
        <v>1429</v>
      </c>
      <c r="L177">
        <v>8.6899999999999977</v>
      </c>
    </row>
    <row r="178" spans="1:12" x14ac:dyDescent="0.35">
      <c r="A178" s="13" t="s">
        <v>759</v>
      </c>
      <c r="B178" s="22">
        <v>8</v>
      </c>
      <c r="K178" s="16" t="s">
        <v>702</v>
      </c>
      <c r="L178">
        <v>94.783999999999992</v>
      </c>
    </row>
    <row r="179" spans="1:12" x14ac:dyDescent="0.35">
      <c r="A179" s="13" t="s">
        <v>647</v>
      </c>
      <c r="B179" s="22">
        <v>11</v>
      </c>
      <c r="K179" s="16" t="s">
        <v>557</v>
      </c>
      <c r="L179">
        <v>1739.692</v>
      </c>
    </row>
    <row r="180" spans="1:12" x14ac:dyDescent="0.35">
      <c r="A180" s="13" t="s">
        <v>206</v>
      </c>
      <c r="B180" s="22">
        <v>9</v>
      </c>
      <c r="K180" s="16" t="s">
        <v>692</v>
      </c>
      <c r="L180">
        <v>14.015999999999998</v>
      </c>
    </row>
    <row r="181" spans="1:12" x14ac:dyDescent="0.35">
      <c r="A181" s="13" t="s">
        <v>900</v>
      </c>
      <c r="B181" s="22">
        <v>4</v>
      </c>
      <c r="K181" s="16" t="s">
        <v>1354</v>
      </c>
      <c r="L181">
        <v>51.52</v>
      </c>
    </row>
    <row r="182" spans="1:12" x14ac:dyDescent="0.35">
      <c r="A182" s="13" t="s">
        <v>335</v>
      </c>
      <c r="B182" s="22">
        <v>3</v>
      </c>
      <c r="K182" s="16" t="s">
        <v>1479</v>
      </c>
      <c r="L182">
        <v>209.3</v>
      </c>
    </row>
    <row r="183" spans="1:12" x14ac:dyDescent="0.35">
      <c r="A183" s="13" t="s">
        <v>400</v>
      </c>
      <c r="B183" s="22">
        <v>19</v>
      </c>
      <c r="K183" s="16" t="s">
        <v>1536</v>
      </c>
      <c r="L183">
        <v>185.68199999999996</v>
      </c>
    </row>
    <row r="184" spans="1:12" x14ac:dyDescent="0.35">
      <c r="A184" s="13" t="s">
        <v>591</v>
      </c>
      <c r="B184" s="22">
        <v>10</v>
      </c>
      <c r="K184" s="16" t="s">
        <v>1026</v>
      </c>
      <c r="L184">
        <v>95.92</v>
      </c>
    </row>
    <row r="185" spans="1:12" x14ac:dyDescent="0.35">
      <c r="A185" s="13" t="s">
        <v>997</v>
      </c>
      <c r="B185" s="22">
        <v>5</v>
      </c>
      <c r="K185" s="16" t="s">
        <v>1393</v>
      </c>
      <c r="L185">
        <v>5.84</v>
      </c>
    </row>
    <row r="186" spans="1:12" x14ac:dyDescent="0.35">
      <c r="A186" s="13" t="s">
        <v>1276</v>
      </c>
      <c r="B186" s="22">
        <v>9</v>
      </c>
      <c r="K186" s="16" t="s">
        <v>1613</v>
      </c>
      <c r="L186">
        <v>59.808000000000007</v>
      </c>
    </row>
    <row r="187" spans="1:12" x14ac:dyDescent="0.35">
      <c r="A187" s="13" t="s">
        <v>1311</v>
      </c>
      <c r="B187" s="22">
        <v>7</v>
      </c>
      <c r="K187" s="16" t="s">
        <v>348</v>
      </c>
      <c r="L187">
        <v>103.19999999999999</v>
      </c>
    </row>
    <row r="188" spans="1:12" x14ac:dyDescent="0.35">
      <c r="A188" s="13" t="s">
        <v>1383</v>
      </c>
      <c r="B188" s="22">
        <v>2</v>
      </c>
      <c r="K188" s="16" t="s">
        <v>1202</v>
      </c>
      <c r="L188">
        <v>6412.7699999999995</v>
      </c>
    </row>
    <row r="189" spans="1:12" x14ac:dyDescent="0.35">
      <c r="A189" s="13" t="s">
        <v>138</v>
      </c>
      <c r="B189" s="22">
        <v>3</v>
      </c>
      <c r="K189" s="16" t="s">
        <v>1677</v>
      </c>
      <c r="L189">
        <v>13.128</v>
      </c>
    </row>
    <row r="190" spans="1:12" x14ac:dyDescent="0.35">
      <c r="A190" s="13" t="s">
        <v>579</v>
      </c>
      <c r="B190" s="22">
        <v>3</v>
      </c>
      <c r="K190" s="16" t="s">
        <v>783</v>
      </c>
      <c r="L190">
        <v>334.68000000000006</v>
      </c>
    </row>
    <row r="191" spans="1:12" x14ac:dyDescent="0.35">
      <c r="A191" s="13" t="s">
        <v>1555</v>
      </c>
      <c r="B191" s="22">
        <v>5</v>
      </c>
      <c r="K191" s="16" t="s">
        <v>1495</v>
      </c>
      <c r="L191">
        <v>251.15800000000002</v>
      </c>
    </row>
    <row r="192" spans="1:12" x14ac:dyDescent="0.35">
      <c r="A192" s="13" t="s">
        <v>1176</v>
      </c>
      <c r="B192" s="22">
        <v>2</v>
      </c>
      <c r="K192" s="16" t="s">
        <v>1351</v>
      </c>
      <c r="L192">
        <v>69.712000000000003</v>
      </c>
    </row>
    <row r="193" spans="1:12" x14ac:dyDescent="0.35">
      <c r="A193" s="13" t="s">
        <v>1456</v>
      </c>
      <c r="B193" s="22">
        <v>6</v>
      </c>
      <c r="K193" s="16" t="s">
        <v>500</v>
      </c>
      <c r="L193">
        <v>220.70000000000002</v>
      </c>
    </row>
    <row r="194" spans="1:12" x14ac:dyDescent="0.35">
      <c r="A194" s="13" t="s">
        <v>1243</v>
      </c>
      <c r="B194" s="22">
        <v>10</v>
      </c>
      <c r="K194" s="16" t="s">
        <v>272</v>
      </c>
      <c r="L194">
        <v>5.3280000000000012</v>
      </c>
    </row>
    <row r="195" spans="1:12" x14ac:dyDescent="0.35">
      <c r="A195" s="13" t="s">
        <v>1133</v>
      </c>
      <c r="B195" s="22">
        <v>5</v>
      </c>
      <c r="K195" s="16" t="s">
        <v>641</v>
      </c>
      <c r="L195">
        <v>10.56</v>
      </c>
    </row>
    <row r="196" spans="1:12" x14ac:dyDescent="0.35">
      <c r="A196" s="13" t="s">
        <v>483</v>
      </c>
      <c r="B196" s="22">
        <v>2</v>
      </c>
      <c r="K196" s="16" t="s">
        <v>1232</v>
      </c>
      <c r="L196">
        <v>143.68</v>
      </c>
    </row>
    <row r="197" spans="1:12" x14ac:dyDescent="0.35">
      <c r="A197" s="13" t="s">
        <v>909</v>
      </c>
      <c r="B197" s="22">
        <v>13</v>
      </c>
      <c r="K197" s="16" t="s">
        <v>1673</v>
      </c>
      <c r="L197">
        <v>24.56</v>
      </c>
    </row>
    <row r="198" spans="1:12" x14ac:dyDescent="0.35">
      <c r="A198" s="13" t="s">
        <v>1070</v>
      </c>
      <c r="B198" s="22">
        <v>2</v>
      </c>
      <c r="K198" s="16" t="s">
        <v>1544</v>
      </c>
      <c r="L198">
        <v>147.91199999999998</v>
      </c>
    </row>
    <row r="199" spans="1:12" x14ac:dyDescent="0.35">
      <c r="A199" s="13" t="s">
        <v>933</v>
      </c>
      <c r="B199" s="22">
        <v>4</v>
      </c>
      <c r="K199" s="16" t="s">
        <v>1270</v>
      </c>
      <c r="L199">
        <v>152.94</v>
      </c>
    </row>
    <row r="200" spans="1:12" x14ac:dyDescent="0.35">
      <c r="A200" s="13" t="s">
        <v>1522</v>
      </c>
      <c r="B200" s="22">
        <v>8</v>
      </c>
      <c r="K200" s="16" t="s">
        <v>1709</v>
      </c>
      <c r="L200">
        <v>32.76</v>
      </c>
    </row>
    <row r="201" spans="1:12" x14ac:dyDescent="0.35">
      <c r="A201" s="13" t="s">
        <v>546</v>
      </c>
      <c r="B201" s="22">
        <v>17</v>
      </c>
      <c r="K201" s="16" t="s">
        <v>687</v>
      </c>
      <c r="L201">
        <v>1.6239999999999994</v>
      </c>
    </row>
    <row r="202" spans="1:12" x14ac:dyDescent="0.35">
      <c r="A202" s="13" t="s">
        <v>1042</v>
      </c>
      <c r="B202" s="22">
        <v>6</v>
      </c>
      <c r="K202" s="16" t="s">
        <v>259</v>
      </c>
      <c r="L202">
        <v>36.29</v>
      </c>
    </row>
    <row r="203" spans="1:12" x14ac:dyDescent="0.35">
      <c r="A203" s="13" t="s">
        <v>1377</v>
      </c>
      <c r="B203" s="22">
        <v>2</v>
      </c>
      <c r="K203" s="16" t="s">
        <v>175</v>
      </c>
      <c r="L203">
        <v>113.39999999999999</v>
      </c>
    </row>
    <row r="204" spans="1:12" x14ac:dyDescent="0.35">
      <c r="A204" s="13" t="s">
        <v>1160</v>
      </c>
      <c r="B204" s="22">
        <v>2</v>
      </c>
      <c r="K204" s="16" t="s">
        <v>675</v>
      </c>
      <c r="L204">
        <v>136.28800000000001</v>
      </c>
    </row>
    <row r="205" spans="1:12" x14ac:dyDescent="0.35">
      <c r="A205" s="13" t="s">
        <v>960</v>
      </c>
      <c r="B205" s="22">
        <v>4</v>
      </c>
      <c r="K205" s="16" t="s">
        <v>1644</v>
      </c>
      <c r="L205">
        <v>389.29199999999992</v>
      </c>
    </row>
    <row r="206" spans="1:12" x14ac:dyDescent="0.35">
      <c r="A206" s="13" t="s">
        <v>1189</v>
      </c>
      <c r="B206" s="22">
        <v>8</v>
      </c>
      <c r="K206" s="16" t="s">
        <v>626</v>
      </c>
      <c r="L206">
        <v>24.18</v>
      </c>
    </row>
    <row r="207" spans="1:12" x14ac:dyDescent="0.35">
      <c r="A207" s="13" t="s">
        <v>553</v>
      </c>
      <c r="B207" s="22">
        <v>7</v>
      </c>
      <c r="K207" s="16" t="s">
        <v>1359</v>
      </c>
      <c r="L207">
        <v>37.935000000000002</v>
      </c>
    </row>
    <row r="208" spans="1:12" x14ac:dyDescent="0.35">
      <c r="A208" s="13" t="s">
        <v>1408</v>
      </c>
      <c r="B208" s="22">
        <v>4</v>
      </c>
      <c r="K208" s="16" t="s">
        <v>634</v>
      </c>
      <c r="L208">
        <v>205.33799999999999</v>
      </c>
    </row>
    <row r="209" spans="1:12" x14ac:dyDescent="0.35">
      <c r="A209" s="13" t="s">
        <v>1112</v>
      </c>
      <c r="B209" s="22">
        <v>2</v>
      </c>
      <c r="K209" s="16" t="s">
        <v>1107</v>
      </c>
      <c r="L209">
        <v>665.40800000000002</v>
      </c>
    </row>
    <row r="210" spans="1:12" x14ac:dyDescent="0.35">
      <c r="A210" s="13" t="s">
        <v>1424</v>
      </c>
      <c r="B210" s="22">
        <v>9</v>
      </c>
      <c r="K210" s="16" t="s">
        <v>1326</v>
      </c>
      <c r="L210">
        <v>192.36799999999999</v>
      </c>
    </row>
    <row r="211" spans="1:12" x14ac:dyDescent="0.35">
      <c r="A211" s="13" t="s">
        <v>955</v>
      </c>
      <c r="B211" s="22">
        <v>1</v>
      </c>
      <c r="K211" s="16" t="s">
        <v>1157</v>
      </c>
      <c r="L211">
        <v>5.96</v>
      </c>
    </row>
    <row r="212" spans="1:12" x14ac:dyDescent="0.35">
      <c r="A212" s="13" t="s">
        <v>459</v>
      </c>
      <c r="B212" s="22">
        <v>3</v>
      </c>
      <c r="K212" s="16" t="s">
        <v>317</v>
      </c>
      <c r="L212">
        <v>77.88</v>
      </c>
    </row>
    <row r="213" spans="1:12" x14ac:dyDescent="0.35">
      <c r="A213" s="13" t="s">
        <v>814</v>
      </c>
      <c r="B213" s="22">
        <v>1</v>
      </c>
      <c r="K213" s="16" t="s">
        <v>1734</v>
      </c>
      <c r="L213">
        <v>31.68</v>
      </c>
    </row>
    <row r="214" spans="1:12" x14ac:dyDescent="0.35">
      <c r="A214" s="13" t="s">
        <v>1561</v>
      </c>
      <c r="B214" s="22">
        <v>3</v>
      </c>
      <c r="K214" s="16" t="s">
        <v>154</v>
      </c>
      <c r="L214">
        <v>95.616</v>
      </c>
    </row>
    <row r="215" spans="1:12" x14ac:dyDescent="0.35">
      <c r="A215" s="13" t="s">
        <v>464</v>
      </c>
      <c r="B215" s="22">
        <v>2</v>
      </c>
      <c r="K215" s="16" t="s">
        <v>817</v>
      </c>
      <c r="L215">
        <v>7.16</v>
      </c>
    </row>
    <row r="216" spans="1:12" x14ac:dyDescent="0.35">
      <c r="A216" s="13" t="s">
        <v>752</v>
      </c>
      <c r="B216" s="22">
        <v>23</v>
      </c>
      <c r="K216" s="16" t="s">
        <v>572</v>
      </c>
      <c r="L216">
        <v>19.002000000000002</v>
      </c>
    </row>
    <row r="217" spans="1:12" x14ac:dyDescent="0.35">
      <c r="A217" s="13" t="s">
        <v>161</v>
      </c>
      <c r="B217" s="22">
        <v>2</v>
      </c>
      <c r="K217" s="16" t="s">
        <v>370</v>
      </c>
      <c r="L217">
        <v>157.79400000000004</v>
      </c>
    </row>
    <row r="218" spans="1:12" x14ac:dyDescent="0.35">
      <c r="A218" s="13" t="s">
        <v>1304</v>
      </c>
      <c r="B218" s="22">
        <v>7</v>
      </c>
      <c r="K218" s="16" t="s">
        <v>823</v>
      </c>
      <c r="L218">
        <v>251.52</v>
      </c>
    </row>
    <row r="219" spans="1:12" x14ac:dyDescent="0.35">
      <c r="A219" s="13" t="s">
        <v>279</v>
      </c>
      <c r="B219" s="22">
        <v>8</v>
      </c>
      <c r="K219" s="16" t="s">
        <v>1290</v>
      </c>
      <c r="L219">
        <v>10.824</v>
      </c>
    </row>
    <row r="220" spans="1:12" x14ac:dyDescent="0.35">
      <c r="A220" s="13" t="s">
        <v>85</v>
      </c>
      <c r="B220" s="22">
        <v>23</v>
      </c>
      <c r="K220" s="16" t="s">
        <v>919</v>
      </c>
      <c r="L220">
        <v>79.344000000000008</v>
      </c>
    </row>
    <row r="221" spans="1:12" x14ac:dyDescent="0.35">
      <c r="A221" s="13" t="s">
        <v>827</v>
      </c>
      <c r="B221" s="22">
        <v>18</v>
      </c>
      <c r="K221" s="16" t="s">
        <v>433</v>
      </c>
      <c r="L221">
        <v>671.93</v>
      </c>
    </row>
    <row r="222" spans="1:12" x14ac:dyDescent="0.35">
      <c r="A222" s="13" t="s">
        <v>168</v>
      </c>
      <c r="B222" s="22">
        <v>4</v>
      </c>
      <c r="K222" s="16" t="s">
        <v>889</v>
      </c>
      <c r="L222">
        <v>36.240000000000009</v>
      </c>
    </row>
    <row r="223" spans="1:12" x14ac:dyDescent="0.35">
      <c r="A223" s="13" t="s">
        <v>1076</v>
      </c>
      <c r="B223" s="22">
        <v>7</v>
      </c>
      <c r="K223" s="16" t="s">
        <v>227</v>
      </c>
      <c r="L223">
        <v>4.6159999999999997</v>
      </c>
    </row>
    <row r="224" spans="1:12" x14ac:dyDescent="0.35">
      <c r="A224" s="13" t="s">
        <v>1649</v>
      </c>
      <c r="B224" s="22">
        <v>8</v>
      </c>
      <c r="K224" s="16" t="s">
        <v>74</v>
      </c>
      <c r="L224">
        <v>141.47399999999999</v>
      </c>
    </row>
    <row r="225" spans="1:12" x14ac:dyDescent="0.35">
      <c r="A225" s="13" t="s">
        <v>149</v>
      </c>
      <c r="B225" s="22">
        <v>2</v>
      </c>
      <c r="K225" s="16" t="s">
        <v>67</v>
      </c>
      <c r="L225">
        <v>407.97600000000006</v>
      </c>
    </row>
    <row r="226" spans="1:12" x14ac:dyDescent="0.35">
      <c r="A226" s="13" t="s">
        <v>939</v>
      </c>
      <c r="B226" s="22">
        <v>10</v>
      </c>
      <c r="K226" s="16" t="s">
        <v>507</v>
      </c>
      <c r="L226">
        <v>72.60799999999999</v>
      </c>
    </row>
    <row r="227" spans="1:12" x14ac:dyDescent="0.35">
      <c r="A227" s="13" t="s">
        <v>1093</v>
      </c>
      <c r="B227" s="22">
        <v>18</v>
      </c>
      <c r="K227" s="16" t="s">
        <v>266</v>
      </c>
      <c r="L227">
        <v>213.37400000000002</v>
      </c>
    </row>
    <row r="228" spans="1:12" x14ac:dyDescent="0.35">
      <c r="A228" s="13" t="s">
        <v>323</v>
      </c>
      <c r="B228" s="22">
        <v>14</v>
      </c>
      <c r="K228" s="16" t="s">
        <v>767</v>
      </c>
      <c r="L228">
        <v>1186.0700000000002</v>
      </c>
    </row>
    <row r="229" spans="1:12" x14ac:dyDescent="0.35">
      <c r="A229" s="13" t="s">
        <v>1529</v>
      </c>
      <c r="B229" s="22">
        <v>8</v>
      </c>
      <c r="K229" s="16" t="s">
        <v>905</v>
      </c>
      <c r="L229">
        <v>211.96</v>
      </c>
    </row>
    <row r="230" spans="1:12" x14ac:dyDescent="0.35">
      <c r="A230" s="13" t="s">
        <v>305</v>
      </c>
      <c r="B230" s="22">
        <v>1</v>
      </c>
      <c r="K230" s="16" t="s">
        <v>236</v>
      </c>
      <c r="L230">
        <v>72.784000000000006</v>
      </c>
    </row>
    <row r="231" spans="1:12" x14ac:dyDescent="0.35">
      <c r="A231" s="13" t="s">
        <v>1057</v>
      </c>
      <c r="B231" s="22">
        <v>4</v>
      </c>
      <c r="K231" s="16" t="s">
        <v>437</v>
      </c>
      <c r="L231">
        <v>171.55</v>
      </c>
    </row>
    <row r="232" spans="1:12" x14ac:dyDescent="0.35">
      <c r="A232" s="13" t="s">
        <v>1513</v>
      </c>
      <c r="B232" s="22">
        <v>3</v>
      </c>
      <c r="K232" s="16" t="s">
        <v>1631</v>
      </c>
      <c r="L232">
        <v>17.568000000000001</v>
      </c>
    </row>
    <row r="233" spans="1:12" x14ac:dyDescent="0.35">
      <c r="A233" s="13" t="s">
        <v>357</v>
      </c>
      <c r="B233" s="22">
        <v>25</v>
      </c>
      <c r="K233" s="16" t="s">
        <v>1335</v>
      </c>
      <c r="L233">
        <v>119.67400000000001</v>
      </c>
    </row>
    <row r="234" spans="1:12" x14ac:dyDescent="0.35">
      <c r="A234" s="13" t="s">
        <v>1617</v>
      </c>
      <c r="B234" s="22">
        <v>3</v>
      </c>
      <c r="K234" s="16" t="s">
        <v>1150</v>
      </c>
      <c r="L234">
        <v>718.95</v>
      </c>
    </row>
    <row r="235" spans="1:12" x14ac:dyDescent="0.35">
      <c r="A235" s="13" t="s">
        <v>476</v>
      </c>
      <c r="B235" s="22">
        <v>5</v>
      </c>
      <c r="K235" s="16" t="s">
        <v>613</v>
      </c>
      <c r="L235">
        <v>93.06</v>
      </c>
    </row>
    <row r="236" spans="1:12" x14ac:dyDescent="0.35">
      <c r="A236" s="13" t="s">
        <v>1665</v>
      </c>
      <c r="B236" s="22">
        <v>11</v>
      </c>
      <c r="K236" s="16" t="s">
        <v>597</v>
      </c>
      <c r="L236">
        <v>399.35200000000003</v>
      </c>
    </row>
    <row r="237" spans="1:12" x14ac:dyDescent="0.35">
      <c r="A237" s="13" t="s">
        <v>1006</v>
      </c>
      <c r="B237" s="22">
        <v>3</v>
      </c>
      <c r="K237" s="16" t="s">
        <v>523</v>
      </c>
      <c r="L237">
        <v>3.28</v>
      </c>
    </row>
    <row r="238" spans="1:12" x14ac:dyDescent="0.35">
      <c r="A238" s="13" t="s">
        <v>1739</v>
      </c>
      <c r="B238" s="22">
        <v>7</v>
      </c>
      <c r="K238" s="16" t="s">
        <v>880</v>
      </c>
      <c r="L238">
        <v>59.699999999999996</v>
      </c>
    </row>
    <row r="239" spans="1:12" x14ac:dyDescent="0.35">
      <c r="A239" s="13" t="s">
        <v>1252</v>
      </c>
      <c r="B239" s="22">
        <v>5</v>
      </c>
      <c r="K239" s="16" t="s">
        <v>342</v>
      </c>
      <c r="L239">
        <v>3.3040000000000003</v>
      </c>
    </row>
    <row r="240" spans="1:12" x14ac:dyDescent="0.35">
      <c r="A240" s="13" t="s">
        <v>1604</v>
      </c>
      <c r="B240" s="22">
        <v>6</v>
      </c>
      <c r="K240" s="16" t="s">
        <v>184</v>
      </c>
      <c r="L240">
        <v>15.260000000000002</v>
      </c>
    </row>
    <row r="241" spans="1:12" x14ac:dyDescent="0.35">
      <c r="A241" s="13" t="s">
        <v>1729</v>
      </c>
      <c r="B241" s="22">
        <v>13</v>
      </c>
      <c r="K241" s="16" t="s">
        <v>290</v>
      </c>
      <c r="L241">
        <v>26.580000000000002</v>
      </c>
    </row>
    <row r="242" spans="1:12" x14ac:dyDescent="0.35">
      <c r="A242" s="13" t="s">
        <v>1183</v>
      </c>
      <c r="B242" s="22">
        <v>8</v>
      </c>
      <c r="K242" s="16" t="s">
        <v>107</v>
      </c>
      <c r="L242">
        <v>79.8</v>
      </c>
    </row>
    <row r="243" spans="1:12" x14ac:dyDescent="0.35">
      <c r="A243" s="13" t="s">
        <v>1625</v>
      </c>
      <c r="B243" s="22">
        <v>7</v>
      </c>
      <c r="K243" s="16" t="s">
        <v>243</v>
      </c>
      <c r="L243">
        <v>9.84</v>
      </c>
    </row>
    <row r="244" spans="1:12" x14ac:dyDescent="0.35">
      <c r="A244" s="13" t="s">
        <v>376</v>
      </c>
      <c r="B244" s="22">
        <v>24</v>
      </c>
      <c r="K244" s="16" t="s">
        <v>662</v>
      </c>
      <c r="L244">
        <v>7.61</v>
      </c>
    </row>
    <row r="245" spans="1:12" x14ac:dyDescent="0.35">
      <c r="A245" s="13" t="s">
        <v>250</v>
      </c>
      <c r="B245" s="22">
        <v>4</v>
      </c>
      <c r="K245" s="16" t="s">
        <v>1021</v>
      </c>
      <c r="L245">
        <v>139.86000000000001</v>
      </c>
    </row>
    <row r="246" spans="1:12" x14ac:dyDescent="0.35">
      <c r="A246" s="13" t="s">
        <v>1338</v>
      </c>
      <c r="B246" s="22">
        <v>3</v>
      </c>
      <c r="K246" s="16" t="s">
        <v>1011</v>
      </c>
      <c r="L246">
        <v>121.16</v>
      </c>
    </row>
    <row r="247" spans="1:12" x14ac:dyDescent="0.35">
      <c r="A247" s="13" t="s">
        <v>1434</v>
      </c>
      <c r="B247" s="22">
        <v>18</v>
      </c>
      <c r="K247" s="16" t="s">
        <v>1052</v>
      </c>
      <c r="L247">
        <v>6.6719999999999988</v>
      </c>
    </row>
    <row r="248" spans="1:12" x14ac:dyDescent="0.35">
      <c r="A248" s="13" t="s">
        <v>426</v>
      </c>
      <c r="B248" s="22">
        <v>3</v>
      </c>
      <c r="K248" s="16" t="s">
        <v>206</v>
      </c>
      <c r="L248">
        <v>172.554</v>
      </c>
    </row>
    <row r="249" spans="1:12" x14ac:dyDescent="0.35">
      <c r="A249" s="13" t="s">
        <v>417</v>
      </c>
      <c r="B249" s="22">
        <v>9</v>
      </c>
      <c r="K249" s="16" t="s">
        <v>900</v>
      </c>
      <c r="L249">
        <v>26.259999999999998</v>
      </c>
    </row>
    <row r="250" spans="1:12" x14ac:dyDescent="0.35">
      <c r="A250" s="13" t="s">
        <v>791</v>
      </c>
      <c r="B250" s="22">
        <v>1</v>
      </c>
      <c r="K250" s="16" t="s">
        <v>335</v>
      </c>
      <c r="L250">
        <v>36.882000000000005</v>
      </c>
    </row>
    <row r="251" spans="1:12" x14ac:dyDescent="0.35">
      <c r="A251" s="13" t="s">
        <v>514</v>
      </c>
      <c r="B251" s="22">
        <v>4</v>
      </c>
      <c r="K251" s="16" t="s">
        <v>400</v>
      </c>
      <c r="L251">
        <v>213.07599999999999</v>
      </c>
    </row>
    <row r="252" spans="1:12" x14ac:dyDescent="0.35">
      <c r="A252" s="13" t="s">
        <v>533</v>
      </c>
      <c r="B252" s="22">
        <v>2</v>
      </c>
      <c r="K252" s="16" t="s">
        <v>591</v>
      </c>
      <c r="L252">
        <v>28.47</v>
      </c>
    </row>
    <row r="253" spans="1:12" x14ac:dyDescent="0.35">
      <c r="A253" s="13" t="s">
        <v>144</v>
      </c>
      <c r="B253" s="22">
        <v>9</v>
      </c>
      <c r="K253" s="16" t="s">
        <v>1276</v>
      </c>
      <c r="L253">
        <v>646.77600000000007</v>
      </c>
    </row>
    <row r="254" spans="1:12" x14ac:dyDescent="0.35">
      <c r="A254" s="13" t="s">
        <v>37</v>
      </c>
      <c r="B254" s="22">
        <v>2</v>
      </c>
      <c r="K254" s="16" t="s">
        <v>1383</v>
      </c>
      <c r="L254">
        <v>76.12</v>
      </c>
    </row>
    <row r="255" spans="1:12" x14ac:dyDescent="0.35">
      <c r="A255" s="13" t="s">
        <v>1510</v>
      </c>
      <c r="B255" s="22">
        <v>5</v>
      </c>
      <c r="K255" s="16" t="s">
        <v>579</v>
      </c>
      <c r="L255">
        <v>21.744000000000003</v>
      </c>
    </row>
    <row r="256" spans="1:12" x14ac:dyDescent="0.35">
      <c r="A256" s="13" t="s">
        <v>449</v>
      </c>
      <c r="B256" s="22">
        <v>23</v>
      </c>
      <c r="K256" s="16" t="s">
        <v>1176</v>
      </c>
      <c r="L256">
        <v>105.42</v>
      </c>
    </row>
    <row r="257" spans="1:12" x14ac:dyDescent="0.35">
      <c r="A257" s="13" t="s">
        <v>809</v>
      </c>
      <c r="B257" s="22">
        <v>9</v>
      </c>
      <c r="K257" s="16" t="s">
        <v>1456</v>
      </c>
      <c r="L257">
        <v>141.21</v>
      </c>
    </row>
    <row r="258" spans="1:12" x14ac:dyDescent="0.35">
      <c r="A258" s="13" t="s">
        <v>1489</v>
      </c>
      <c r="B258" s="22">
        <v>10</v>
      </c>
      <c r="K258" s="16" t="s">
        <v>1243</v>
      </c>
      <c r="L258">
        <v>755.096</v>
      </c>
    </row>
    <row r="259" spans="1:12" x14ac:dyDescent="0.35">
      <c r="A259" s="13" t="s">
        <v>978</v>
      </c>
      <c r="B259" s="22">
        <v>4</v>
      </c>
      <c r="K259" s="16" t="s">
        <v>1133</v>
      </c>
      <c r="L259">
        <v>55.48</v>
      </c>
    </row>
    <row r="260" spans="1:12" x14ac:dyDescent="0.35">
      <c r="A260" s="13" t="s">
        <v>1657</v>
      </c>
      <c r="B260" s="22">
        <v>11</v>
      </c>
      <c r="K260" s="16" t="s">
        <v>483</v>
      </c>
      <c r="L260">
        <v>27.680000000000003</v>
      </c>
    </row>
    <row r="261" spans="1:12" x14ac:dyDescent="0.35">
      <c r="A261" s="13" t="s">
        <v>192</v>
      </c>
      <c r="B261" s="22">
        <v>18</v>
      </c>
      <c r="K261" s="16" t="s">
        <v>1070</v>
      </c>
      <c r="L261">
        <v>4.8120000000000003</v>
      </c>
    </row>
    <row r="262" spans="1:12" x14ac:dyDescent="0.35">
      <c r="A262" s="13" t="s">
        <v>121</v>
      </c>
      <c r="B262" s="22">
        <v>32</v>
      </c>
      <c r="K262" s="16" t="s">
        <v>1522</v>
      </c>
      <c r="L262">
        <v>36.351999999999997</v>
      </c>
    </row>
    <row r="263" spans="1:12" x14ac:dyDescent="0.35">
      <c r="A263" s="13" t="s">
        <v>864</v>
      </c>
      <c r="B263" s="22">
        <v>12</v>
      </c>
      <c r="K263" s="16" t="s">
        <v>546</v>
      </c>
      <c r="L263">
        <v>10.752000000000001</v>
      </c>
    </row>
    <row r="264" spans="1:12" x14ac:dyDescent="0.35">
      <c r="A264" s="13" t="s">
        <v>1344</v>
      </c>
      <c r="B264" s="22">
        <v>20</v>
      </c>
      <c r="K264" s="16" t="s">
        <v>1042</v>
      </c>
      <c r="L264">
        <v>329.07</v>
      </c>
    </row>
    <row r="265" spans="1:12" x14ac:dyDescent="0.35">
      <c r="A265" s="13" t="s">
        <v>1517</v>
      </c>
      <c r="B265" s="22">
        <v>6</v>
      </c>
      <c r="K265" s="16" t="s">
        <v>1377</v>
      </c>
      <c r="L265">
        <v>9.3439999999999994</v>
      </c>
    </row>
    <row r="266" spans="1:12" x14ac:dyDescent="0.35">
      <c r="A266" s="13" t="s">
        <v>1595</v>
      </c>
      <c r="B266" s="22">
        <v>1</v>
      </c>
      <c r="K266" s="16" t="s">
        <v>960</v>
      </c>
      <c r="L266">
        <v>23.36</v>
      </c>
    </row>
    <row r="267" spans="1:12" x14ac:dyDescent="0.35">
      <c r="A267" s="13" t="s">
        <v>1121</v>
      </c>
      <c r="B267" s="22">
        <v>9</v>
      </c>
      <c r="K267" s="16" t="s">
        <v>1189</v>
      </c>
      <c r="L267">
        <v>72.740000000000009</v>
      </c>
    </row>
    <row r="268" spans="1:12" x14ac:dyDescent="0.35">
      <c r="A268" s="13" t="s">
        <v>1388</v>
      </c>
      <c r="B268" s="22">
        <v>2</v>
      </c>
      <c r="K268" s="16" t="s">
        <v>553</v>
      </c>
      <c r="L268">
        <v>14.280000000000001</v>
      </c>
    </row>
    <row r="269" spans="1:12" x14ac:dyDescent="0.35">
      <c r="A269" s="13" t="s">
        <v>385</v>
      </c>
      <c r="B269" s="22">
        <v>9</v>
      </c>
      <c r="K269" s="16" t="s">
        <v>1112</v>
      </c>
      <c r="L269">
        <v>8.9280000000000008</v>
      </c>
    </row>
    <row r="270" spans="1:12" x14ac:dyDescent="0.35">
      <c r="A270" s="13" t="s">
        <v>471</v>
      </c>
      <c r="B270" s="22">
        <v>1</v>
      </c>
      <c r="K270" s="16" t="s">
        <v>459</v>
      </c>
      <c r="L270">
        <v>6.63</v>
      </c>
    </row>
    <row r="271" spans="1:12" x14ac:dyDescent="0.35">
      <c r="A271" s="13" t="s">
        <v>443</v>
      </c>
      <c r="B271" s="22">
        <v>6</v>
      </c>
      <c r="K271" s="16" t="s">
        <v>814</v>
      </c>
      <c r="L271">
        <v>43.57</v>
      </c>
    </row>
    <row r="272" spans="1:12" x14ac:dyDescent="0.35">
      <c r="A272" s="13" t="s">
        <v>892</v>
      </c>
      <c r="B272" s="22">
        <v>11</v>
      </c>
      <c r="K272" s="16" t="s">
        <v>464</v>
      </c>
      <c r="L272">
        <v>14.62</v>
      </c>
    </row>
    <row r="273" spans="1:12" x14ac:dyDescent="0.35">
      <c r="A273" s="13" t="s">
        <v>565</v>
      </c>
      <c r="B273" s="22">
        <v>3</v>
      </c>
      <c r="K273" s="16" t="s">
        <v>1304</v>
      </c>
      <c r="L273">
        <v>53.100000000000009</v>
      </c>
    </row>
    <row r="274" spans="1:12" x14ac:dyDescent="0.35">
      <c r="A274" s="13" t="s">
        <v>971</v>
      </c>
      <c r="B274" s="22">
        <v>3</v>
      </c>
      <c r="K274" s="16" t="s">
        <v>279</v>
      </c>
      <c r="L274">
        <v>13.72</v>
      </c>
    </row>
    <row r="275" spans="1:12" x14ac:dyDescent="0.35">
      <c r="A275" s="13" t="s">
        <v>607</v>
      </c>
      <c r="B275" s="22">
        <v>2</v>
      </c>
      <c r="K275" s="16" t="s">
        <v>85</v>
      </c>
      <c r="L275">
        <v>665.88</v>
      </c>
    </row>
    <row r="276" spans="1:12" x14ac:dyDescent="0.35">
      <c r="A276" s="13" t="s">
        <v>1369</v>
      </c>
      <c r="B276" s="22">
        <v>9</v>
      </c>
      <c r="K276" s="16" t="s">
        <v>1649</v>
      </c>
      <c r="L276">
        <v>288.06</v>
      </c>
    </row>
    <row r="277" spans="1:12" x14ac:dyDescent="0.35">
      <c r="A277" s="13" t="s">
        <v>99</v>
      </c>
      <c r="B277" s="22">
        <v>6</v>
      </c>
      <c r="K277" s="16" t="s">
        <v>149</v>
      </c>
      <c r="L277">
        <v>77.88</v>
      </c>
    </row>
    <row r="278" spans="1:12" x14ac:dyDescent="0.35">
      <c r="A278" s="13" t="s">
        <v>1756</v>
      </c>
      <c r="B278" s="22">
        <v>1833</v>
      </c>
      <c r="K278" s="16" t="s">
        <v>939</v>
      </c>
      <c r="L278">
        <v>44.66</v>
      </c>
    </row>
    <row r="279" spans="1:12" x14ac:dyDescent="0.35">
      <c r="K279" s="16" t="s">
        <v>323</v>
      </c>
      <c r="L279">
        <v>81.835999999999999</v>
      </c>
    </row>
    <row r="280" spans="1:12" x14ac:dyDescent="0.35">
      <c r="K280" s="16" t="s">
        <v>305</v>
      </c>
      <c r="L280">
        <v>5.6820000000000013</v>
      </c>
    </row>
    <row r="281" spans="1:12" x14ac:dyDescent="0.35">
      <c r="K281" s="16" t="s">
        <v>1057</v>
      </c>
      <c r="L281">
        <v>194.35600000000005</v>
      </c>
    </row>
    <row r="282" spans="1:12" x14ac:dyDescent="0.35">
      <c r="K282" s="16" t="s">
        <v>1617</v>
      </c>
      <c r="L282">
        <v>146.82</v>
      </c>
    </row>
    <row r="283" spans="1:12" x14ac:dyDescent="0.35">
      <c r="K283" s="16" t="s">
        <v>476</v>
      </c>
      <c r="L283">
        <v>28.4</v>
      </c>
    </row>
    <row r="284" spans="1:12" x14ac:dyDescent="0.35">
      <c r="K284" s="16" t="s">
        <v>1665</v>
      </c>
      <c r="L284">
        <v>117.91</v>
      </c>
    </row>
    <row r="285" spans="1:12" x14ac:dyDescent="0.35">
      <c r="K285" s="16" t="s">
        <v>1006</v>
      </c>
      <c r="L285">
        <v>35.910000000000004</v>
      </c>
    </row>
    <row r="286" spans="1:12" x14ac:dyDescent="0.35">
      <c r="K286" s="16" t="s">
        <v>1739</v>
      </c>
      <c r="L286">
        <v>20.16</v>
      </c>
    </row>
    <row r="287" spans="1:12" x14ac:dyDescent="0.35">
      <c r="K287" s="16" t="s">
        <v>1604</v>
      </c>
      <c r="L287">
        <v>281.34000000000003</v>
      </c>
    </row>
    <row r="288" spans="1:12" x14ac:dyDescent="0.35">
      <c r="K288" s="16" t="s">
        <v>1729</v>
      </c>
      <c r="L288">
        <v>202.42</v>
      </c>
    </row>
    <row r="289" spans="11:12" x14ac:dyDescent="0.35">
      <c r="K289" s="16" t="s">
        <v>1183</v>
      </c>
      <c r="L289">
        <v>119.61600000000001</v>
      </c>
    </row>
    <row r="290" spans="11:12" x14ac:dyDescent="0.35">
      <c r="K290" s="16" t="s">
        <v>1625</v>
      </c>
      <c r="L290">
        <v>45.584000000000003</v>
      </c>
    </row>
    <row r="291" spans="11:12" x14ac:dyDescent="0.35">
      <c r="K291" s="16" t="s">
        <v>1338</v>
      </c>
      <c r="L291">
        <v>8.82</v>
      </c>
    </row>
    <row r="292" spans="11:12" x14ac:dyDescent="0.35">
      <c r="K292" s="16" t="s">
        <v>1434</v>
      </c>
      <c r="L292">
        <v>1240.51</v>
      </c>
    </row>
    <row r="293" spans="11:12" x14ac:dyDescent="0.35">
      <c r="K293" s="16" t="s">
        <v>426</v>
      </c>
      <c r="L293">
        <v>839.43000000000006</v>
      </c>
    </row>
    <row r="294" spans="11:12" x14ac:dyDescent="0.35">
      <c r="K294" s="16" t="s">
        <v>417</v>
      </c>
      <c r="L294">
        <v>163.38</v>
      </c>
    </row>
    <row r="295" spans="11:12" x14ac:dyDescent="0.35">
      <c r="K295" s="16" t="s">
        <v>533</v>
      </c>
      <c r="L295">
        <v>7.16</v>
      </c>
    </row>
    <row r="296" spans="11:12" x14ac:dyDescent="0.35">
      <c r="K296" s="16" t="s">
        <v>144</v>
      </c>
      <c r="L296">
        <v>113.328</v>
      </c>
    </row>
    <row r="297" spans="11:12" x14ac:dyDescent="0.35">
      <c r="K297" s="16" t="s">
        <v>37</v>
      </c>
      <c r="L297">
        <v>22.368000000000002</v>
      </c>
    </row>
    <row r="298" spans="11:12" x14ac:dyDescent="0.35">
      <c r="K298" s="16" t="s">
        <v>1510</v>
      </c>
      <c r="L298">
        <v>459.95</v>
      </c>
    </row>
    <row r="299" spans="11:12" x14ac:dyDescent="0.35">
      <c r="K299" s="16" t="s">
        <v>449</v>
      </c>
      <c r="L299">
        <v>39.072000000000003</v>
      </c>
    </row>
    <row r="300" spans="11:12" x14ac:dyDescent="0.35">
      <c r="K300" s="16" t="s">
        <v>809</v>
      </c>
      <c r="L300">
        <v>24.57</v>
      </c>
    </row>
    <row r="301" spans="11:12" x14ac:dyDescent="0.35">
      <c r="K301" s="16" t="s">
        <v>1489</v>
      </c>
      <c r="L301">
        <v>379.4</v>
      </c>
    </row>
    <row r="302" spans="11:12" x14ac:dyDescent="0.35">
      <c r="K302" s="16" t="s">
        <v>1657</v>
      </c>
      <c r="L302">
        <v>114.84</v>
      </c>
    </row>
    <row r="303" spans="11:12" x14ac:dyDescent="0.35">
      <c r="K303" s="16" t="s">
        <v>121</v>
      </c>
      <c r="L303">
        <v>294.66800000000001</v>
      </c>
    </row>
    <row r="304" spans="11:12" x14ac:dyDescent="0.35">
      <c r="K304" s="16" t="s">
        <v>864</v>
      </c>
      <c r="L304">
        <v>64.64</v>
      </c>
    </row>
    <row r="305" spans="11:12" x14ac:dyDescent="0.35">
      <c r="K305" s="16" t="s">
        <v>1121</v>
      </c>
      <c r="L305">
        <v>292.13299999999998</v>
      </c>
    </row>
    <row r="306" spans="11:12" x14ac:dyDescent="0.35">
      <c r="K306" s="16" t="s">
        <v>385</v>
      </c>
      <c r="L306">
        <v>246.38000000000002</v>
      </c>
    </row>
    <row r="307" spans="11:12" x14ac:dyDescent="0.35">
      <c r="K307" s="16" t="s">
        <v>443</v>
      </c>
      <c r="L307">
        <v>6.48</v>
      </c>
    </row>
    <row r="308" spans="11:12" x14ac:dyDescent="0.35">
      <c r="K308" s="16" t="s">
        <v>892</v>
      </c>
      <c r="L308">
        <v>5.78</v>
      </c>
    </row>
    <row r="309" spans="11:12" x14ac:dyDescent="0.35">
      <c r="K309" s="16" t="s">
        <v>565</v>
      </c>
      <c r="L309">
        <v>46.26</v>
      </c>
    </row>
    <row r="310" spans="11:12" x14ac:dyDescent="0.35">
      <c r="K310" s="16" t="s">
        <v>971</v>
      </c>
      <c r="L310">
        <v>75.792000000000002</v>
      </c>
    </row>
    <row r="311" spans="11:12" x14ac:dyDescent="0.35">
      <c r="K311" s="16" t="s">
        <v>607</v>
      </c>
      <c r="L311">
        <v>23.680000000000003</v>
      </c>
    </row>
    <row r="312" spans="11:12" x14ac:dyDescent="0.35">
      <c r="K312" s="16" t="s">
        <v>1369</v>
      </c>
      <c r="L312">
        <v>47.925000000000011</v>
      </c>
    </row>
    <row r="313" spans="11:12" x14ac:dyDescent="0.35">
      <c r="K313" s="13" t="s">
        <v>1756</v>
      </c>
      <c r="L313">
        <v>55724.019000000015</v>
      </c>
    </row>
  </sheetData>
  <pageMargins left="0.7" right="0.7" top="0.75" bottom="0.75" header="0.3" footer="0.3"/>
  <drawing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 VIVOBOOK</dc:creator>
  <cp:lastModifiedBy>ASUS VIVOBOOK</cp:lastModifiedBy>
  <dcterms:created xsi:type="dcterms:W3CDTF">2026-07-29T05:33:59Z</dcterms:created>
  <dcterms:modified xsi:type="dcterms:W3CDTF">2026-07-29T05:53:59Z</dcterms:modified>
</cp:coreProperties>
</file>